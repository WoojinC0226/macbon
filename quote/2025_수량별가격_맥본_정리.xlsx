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데이터_정리" sheetId="1" state="visible" r:id="rId3"/>
    <sheet name="맥본_원가표" sheetId="2" state="visible" r:id="rId4"/>
  </sheets>
  <definedNames>
    <definedName function="false" hidden="false" localSheetId="1" name="_xlnm.Print_Area" vbProcedure="false">맥본_원가표!$B$4:$AI$200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<sst xmlns="http://schemas.openxmlformats.org/spreadsheetml/2006/main" count="786" uniqueCount="177">
  <si>
    <r>
      <rPr>
        <b val="true"/>
        <sz val="14"/>
        <color rgb="FF1F4E5F"/>
        <rFont val="맑은 고딕"/>
        <family val="0"/>
        <charset val="1"/>
      </rPr>
      <t xml:space="preserve">MAC-BON 2025 </t>
    </r>
    <r>
      <rPr>
        <b val="true"/>
        <sz val="14"/>
        <color rgb="FF1F4E5F"/>
        <rFont val="Noto Sans CJK SC"/>
        <family val="2"/>
      </rPr>
      <t xml:space="preserve">표준 견적 데이터</t>
    </r>
  </si>
  <si>
    <t xml:space="preserve">제품 정보</t>
  </si>
  <si>
    <r>
      <rPr>
        <b val="true"/>
        <sz val="10"/>
        <color rgb="FFFFFFFF"/>
        <rFont val="Noto Sans CJK SC"/>
        <family val="2"/>
      </rPr>
      <t xml:space="preserve">원가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표준판가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개당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</si>
  <si>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등급별 판가 </t>
    </r>
    <r>
      <rPr>
        <b val="true"/>
        <sz val="10"/>
        <color rgb="FFFFFFFF"/>
        <rFont val="맑은 고딕"/>
        <family val="0"/>
        <charset val="1"/>
      </rPr>
      <t xml:space="preserve">(kg</t>
    </r>
    <r>
      <rPr>
        <b val="true"/>
        <sz val="10"/>
        <color rgb="FFFFFFFF"/>
        <rFont val="Noto Sans CJK SC"/>
        <family val="2"/>
      </rPr>
      <t xml:space="preserve">당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할인율 적용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</si>
  <si>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용기</t>
  </si>
  <si>
    <r>
      <rPr>
        <b val="true"/>
        <sz val="10"/>
        <color rgb="FFFFFFFF"/>
        <rFont val="Noto Sans CJK SC"/>
        <family val="2"/>
      </rPr>
      <t xml:space="preserve">포장 옵션가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</si>
  <si>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카테고리</t>
  </si>
  <si>
    <t xml:space="preserve">분류</t>
  </si>
  <si>
    <t xml:space="preserve">제품명</t>
  </si>
  <si>
    <r>
      <rPr>
        <b val="true"/>
        <sz val="9"/>
        <color rgb="FFFFFFFF"/>
        <rFont val="Noto Sans CJK SC"/>
        <family val="2"/>
      </rPr>
      <t xml:space="preserve">충진
</t>
    </r>
    <r>
      <rPr>
        <b val="true"/>
        <sz val="9"/>
        <color rgb="FFFFFFFF"/>
        <rFont val="맑은 고딕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</si>
  <si>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최소수량
</t>
    </r>
    <r>
      <rPr>
        <b val="true"/>
        <sz val="9"/>
        <color rgb="FFFFFFFF"/>
        <rFont val="맑은 고딕"/>
        <family val="0"/>
        <charset val="1"/>
      </rPr>
      <t xml:space="preserve">(ea)</t>
    </r>
  </si>
  <si>
    <r>
      <rPr>
        <b val="true"/>
        <sz val="9"/>
        <color rgb="FFFFFFFF"/>
        <rFont val="Noto Sans CJK SC"/>
        <family val="2"/>
      </rPr>
      <t xml:space="preserve">원가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/kg)</t>
    </r>
  </si>
  <si>
    <r>
      <rPr>
        <b val="true"/>
        <sz val="9"/>
        <color rgb="FFFFFFFF"/>
        <rFont val="Noto Sans CJK SC"/>
        <family val="2"/>
      </rPr>
      <t xml:space="preserve">충원가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개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</si>
  <si>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표준판가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개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</si>
  <si>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마진율</t>
  </si>
  <si>
    <t xml:space="preserve">D-C
(0%)</t>
  </si>
  <si>
    <t xml:space="preserve">B
(-10%)</t>
  </si>
  <si>
    <t xml:space="preserve">A
(-15%)</t>
  </si>
  <si>
    <t xml:space="preserve">A+
(-20%)</t>
  </si>
  <si>
    <r>
      <rPr>
        <b val="true"/>
        <sz val="9"/>
        <color rgb="FFFFFFFF"/>
        <rFont val="맑은 고딕"/>
        <family val="0"/>
        <charset val="1"/>
      </rPr>
      <t xml:space="preserve">20%</t>
    </r>
    <r>
      <rPr>
        <b val="true"/>
        <sz val="9"/>
        <color rgb="FFFFFFFF"/>
        <rFont val="Noto Sans CJK SC"/>
        <family val="2"/>
      </rPr>
      <t xml:space="preserve">할인
개당가</t>
    </r>
  </si>
  <si>
    <t xml:space="preserve">용기구분</t>
  </si>
  <si>
    <t xml:space="preserve">메탈캡</t>
  </si>
  <si>
    <t xml:space="preserve">파우치</t>
  </si>
  <si>
    <t xml:space="preserve">라벨</t>
  </si>
  <si>
    <t xml:space="preserve">단상자</t>
  </si>
  <si>
    <t xml:space="preserve">수축필름</t>
  </si>
  <si>
    <r>
      <rPr>
        <sz val="9"/>
        <rFont val="Noto Sans CJK SC"/>
        <family val="2"/>
      </rPr>
      <t xml:space="preserve">일회용글루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리무버</t>
    </r>
  </si>
  <si>
    <t xml:space="preserve">아크릴에멀젼</t>
  </si>
  <si>
    <t xml:space="preserve">O-1201 / O-1211 / O-1301 / O-1311</t>
  </si>
  <si>
    <t xml:space="preserve">O-1009 / O-1019 / O-1019FDA</t>
  </si>
  <si>
    <t xml:space="preserve">아크릴리무버</t>
  </si>
  <si>
    <t xml:space="preserve">U-303</t>
  </si>
  <si>
    <r>
      <rPr>
        <sz val="9"/>
        <rFont val="맑은 고딕"/>
        <family val="0"/>
        <charset val="1"/>
      </rPr>
      <t xml:space="preserve">U-304 (</t>
    </r>
    <r>
      <rPr>
        <sz val="9"/>
        <rFont val="Noto Sans CJK SC"/>
        <family val="2"/>
      </rPr>
      <t xml:space="preserve">제거력 강화</t>
    </r>
    <r>
      <rPr>
        <sz val="9"/>
        <rFont val="맑은 고딕"/>
        <family val="0"/>
        <charset val="1"/>
      </rPr>
      <t xml:space="preserve">)</t>
    </r>
  </si>
  <si>
    <t xml:space="preserve">연장용글루</t>
  </si>
  <si>
    <t xml:space="preserve">글루</t>
  </si>
  <si>
    <r>
      <rPr>
        <sz val="9"/>
        <rFont val="맑은 고딕"/>
        <family val="0"/>
        <charset val="1"/>
      </rPr>
      <t xml:space="preserve">KC SERIES (</t>
    </r>
    <r>
      <rPr>
        <sz val="9"/>
        <rFont val="Noto Sans CJK SC"/>
        <family val="2"/>
      </rPr>
      <t xml:space="preserve">초고순도 </t>
    </r>
    <r>
      <rPr>
        <sz val="9"/>
        <rFont val="맑은 고딕"/>
        <family val="0"/>
        <charset val="1"/>
      </rPr>
      <t xml:space="preserve">/ MMA free, </t>
    </r>
    <r>
      <rPr>
        <sz val="9"/>
        <rFont val="Noto Sans CJK SC"/>
        <family val="2"/>
      </rPr>
      <t xml:space="preserve">전문가용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</si>
  <si>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KCB/T SERIES (</t>
    </r>
    <r>
      <rPr>
        <sz val="9"/>
        <rFont val="Noto Sans CJK SC"/>
        <family val="2"/>
      </rPr>
      <t xml:space="preserve">저온저습 </t>
    </r>
    <r>
      <rPr>
        <sz val="9"/>
        <rFont val="맑은 고딕"/>
        <family val="0"/>
        <charset val="1"/>
      </rPr>
      <t xml:space="preserve">/ MMA free, </t>
    </r>
    <r>
      <rPr>
        <sz val="9"/>
        <rFont val="Noto Sans CJK SC"/>
        <family val="2"/>
      </rPr>
      <t xml:space="preserve">전문가용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</si>
  <si>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KC301 (</t>
    </r>
    <r>
      <rPr>
        <sz val="9"/>
        <rFont val="Noto Sans CJK SC"/>
        <family val="2"/>
      </rPr>
      <t xml:space="preserve">초고순도 </t>
    </r>
    <r>
      <rPr>
        <sz val="9"/>
        <rFont val="맑은 고딕"/>
        <family val="0"/>
        <charset val="1"/>
      </rPr>
      <t xml:space="preserve">/ MMA free /  </t>
    </r>
    <r>
      <rPr>
        <sz val="9"/>
        <rFont val="Noto Sans CJK SC"/>
        <family val="2"/>
      </rPr>
      <t xml:space="preserve">셀프용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무취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저자극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</si>
  <si>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TH SERIES (</t>
    </r>
    <r>
      <rPr>
        <sz val="9"/>
        <rFont val="Noto Sans CJK SC"/>
        <family val="2"/>
      </rPr>
      <t xml:space="preserve">초고순도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저온저습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</si>
  <si>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CM SERIES (</t>
    </r>
    <r>
      <rPr>
        <sz val="9"/>
        <rFont val="Noto Sans CJK SC"/>
        <family val="2"/>
      </rPr>
      <t xml:space="preserve">초고순도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유연성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</si>
  <si>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S SERIES (</t>
    </r>
    <r>
      <rPr>
        <sz val="9"/>
        <rFont val="Noto Sans CJK SC"/>
        <family val="2"/>
      </rPr>
      <t xml:space="preserve">고순도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빠른경화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</si>
  <si>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E SERIES (</t>
    </r>
    <r>
      <rPr>
        <sz val="9"/>
        <rFont val="Noto Sans CJK SC"/>
        <family val="2"/>
      </rPr>
      <t xml:space="preserve">보급형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</si>
  <si>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K158-R9 (PMMA, </t>
    </r>
    <r>
      <rPr>
        <sz val="9"/>
        <rFont val="Noto Sans CJK SC"/>
        <family val="2"/>
      </rPr>
      <t xml:space="preserve">무취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저자극</t>
    </r>
    <r>
      <rPr>
        <sz val="9"/>
        <rFont val="맑은 고딕"/>
        <family val="0"/>
        <charset val="1"/>
      </rPr>
      <t xml:space="preserve">)</t>
    </r>
  </si>
  <si>
    <t xml:space="preserve">리무버</t>
  </si>
  <si>
    <r>
      <rPr>
        <sz val="9"/>
        <rFont val="맑은 고딕"/>
        <family val="0"/>
        <charset val="1"/>
      </rPr>
      <t xml:space="preserve">GBL REMOVER  K25 / K26 / K27 / R145  (</t>
    </r>
    <r>
      <rPr>
        <sz val="9"/>
        <rFont val="Noto Sans CJK SC"/>
        <family val="2"/>
      </rPr>
      <t xml:space="preserve">겔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크림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</si>
  <si>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P/C REMOVER  T61 (</t>
    </r>
    <r>
      <rPr>
        <sz val="9"/>
        <rFont val="Noto Sans CJK SC"/>
        <family val="2"/>
      </rPr>
      <t xml:space="preserve">에멀젼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</si>
  <si>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P/C REMOVER  T08 / TS01 / TS01(DL)  (</t>
    </r>
    <r>
      <rPr>
        <sz val="9"/>
        <rFont val="Noto Sans CJK SC"/>
        <family val="2"/>
      </rPr>
      <t xml:space="preserve">겔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크림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</si>
  <si>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래쉬샴푸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전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후처리제</t>
    </r>
  </si>
  <si>
    <t xml:space="preserve">클렌징</t>
  </si>
  <si>
    <r>
      <rPr>
        <sz val="9"/>
        <rFont val="맑은 고딕"/>
        <family val="0"/>
        <charset val="1"/>
      </rPr>
      <t xml:space="preserve">M01 (</t>
    </r>
    <r>
      <rPr>
        <sz val="9"/>
        <rFont val="Noto Sans CJK SC"/>
        <family val="2"/>
      </rPr>
      <t xml:space="preserve">버블폼</t>
    </r>
    <r>
      <rPr>
        <sz val="9"/>
        <rFont val="맑은 고딕"/>
        <family val="0"/>
        <charset val="1"/>
      </rPr>
      <t xml:space="preserve">)</t>
    </r>
  </si>
  <si>
    <t xml:space="preserve">전처리제</t>
  </si>
  <si>
    <r>
      <rPr>
        <sz val="9"/>
        <rFont val="맑은 고딕"/>
        <family val="0"/>
        <charset val="1"/>
      </rPr>
      <t xml:space="preserve">P11D SERIES (</t>
    </r>
    <r>
      <rPr>
        <sz val="9"/>
        <rFont val="Noto Sans CJK SC"/>
        <family val="2"/>
      </rPr>
      <t xml:space="preserve">알콜함유 전처리제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</si>
  <si>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AT26 (</t>
    </r>
    <r>
      <rPr>
        <sz val="9"/>
        <rFont val="Noto Sans CJK SC"/>
        <family val="2"/>
      </rPr>
      <t xml:space="preserve">음이온부여</t>
    </r>
    <r>
      <rPr>
        <sz val="9"/>
        <rFont val="맑은 고딕"/>
        <family val="0"/>
        <charset val="1"/>
      </rPr>
      <t xml:space="preserve">, ph</t>
    </r>
    <r>
      <rPr>
        <sz val="9"/>
        <rFont val="Noto Sans CJK SC"/>
        <family val="2"/>
      </rPr>
      <t xml:space="preserve">조절기능</t>
    </r>
    <r>
      <rPr>
        <sz val="9"/>
        <rFont val="맑은 고딕"/>
        <family val="0"/>
        <charset val="1"/>
      </rPr>
      <t xml:space="preserve">)</t>
    </r>
  </si>
  <si>
    <t xml:space="preserve">슈퍼본더</t>
  </si>
  <si>
    <t xml:space="preserve">AC95</t>
  </si>
  <si>
    <r>
      <rPr>
        <sz val="9"/>
        <rFont val="Noto Sans CJK SC"/>
        <family val="2"/>
      </rPr>
      <t xml:space="preserve">코팅제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픽서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영양제</t>
    </r>
  </si>
  <si>
    <t xml:space="preserve">코팅제</t>
  </si>
  <si>
    <t xml:space="preserve">V507 / V507-H</t>
  </si>
  <si>
    <t xml:space="preserve">CT30 / CT60 / CT62 / CT66</t>
  </si>
  <si>
    <t xml:space="preserve">세럼</t>
  </si>
  <si>
    <t xml:space="preserve">H501</t>
  </si>
  <si>
    <t xml:space="preserve">H502</t>
  </si>
  <si>
    <t xml:space="preserve">H503</t>
  </si>
  <si>
    <t xml:space="preserve">H504(H501-R3)</t>
  </si>
  <si>
    <t xml:space="preserve">픽서</t>
  </si>
  <si>
    <t xml:space="preserve">H50-P</t>
  </si>
  <si>
    <t xml:space="preserve">H51-P</t>
  </si>
  <si>
    <t xml:space="preserve">H50P-H</t>
  </si>
  <si>
    <r>
      <rPr>
        <sz val="9"/>
        <rFont val="맑은 고딕"/>
        <family val="0"/>
        <charset val="1"/>
      </rPr>
      <t xml:space="preserve">AL02 (</t>
    </r>
    <r>
      <rPr>
        <sz val="9"/>
        <rFont val="Noto Sans CJK SC"/>
        <family val="2"/>
      </rPr>
      <t xml:space="preserve">브로우 픽서</t>
    </r>
    <r>
      <rPr>
        <sz val="9"/>
        <rFont val="맑은 고딕"/>
        <family val="0"/>
        <charset val="1"/>
      </rPr>
      <t xml:space="preserve">)</t>
    </r>
  </si>
  <si>
    <t xml:space="preserve">펌제</t>
  </si>
  <si>
    <r>
      <rPr>
        <sz val="9"/>
        <rFont val="맑은 고딕"/>
        <family val="0"/>
        <charset val="1"/>
      </rPr>
      <t xml:space="preserve">JT-TG8-1 (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치오계열 </t>
    </r>
    <r>
      <rPr>
        <sz val="9"/>
        <rFont val="맑은 고딕"/>
        <family val="0"/>
        <charset val="1"/>
      </rPr>
      <t xml:space="preserve">/ 8-10</t>
    </r>
    <r>
      <rPr>
        <sz val="9"/>
        <rFont val="Noto Sans CJK SC"/>
        <family val="2"/>
      </rPr>
      <t xml:space="preserve">분타입</t>
    </r>
    <r>
      <rPr>
        <sz val="9"/>
        <rFont val="맑은 고딕"/>
        <family val="0"/>
        <charset val="1"/>
      </rPr>
      <t xml:space="preserve">)  JT-TG9-1 (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치오계열 </t>
    </r>
    <r>
      <rPr>
        <sz val="9"/>
        <rFont val="맑은 고딕"/>
        <family val="0"/>
        <charset val="1"/>
      </rPr>
      <t xml:space="preserve">/ 5-7</t>
    </r>
    <r>
      <rPr>
        <sz val="9"/>
        <rFont val="Noto Sans CJK SC"/>
        <family val="2"/>
      </rPr>
      <t xml:space="preserve">분타입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</si>
  <si>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JT-BR8-2 (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브롬산계열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</si>
  <si>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JT-HP9-2 (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과산화수소계열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</si>
  <si>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JT-TRT-3 (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1.5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펌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영양트리트먼트</t>
    </r>
    <r>
      <rPr>
        <sz val="9"/>
        <rFont val="맑은 고딕"/>
        <family val="0"/>
        <charset val="1"/>
      </rPr>
      <t xml:space="preserve">)</t>
    </r>
  </si>
  <si>
    <t xml:space="preserve">염모제</t>
  </si>
  <si>
    <r>
      <rPr>
        <sz val="9"/>
        <rFont val="Noto Sans CJK SC"/>
        <family val="2"/>
      </rPr>
      <t xml:space="preserve">틴팅제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마스카라형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</si>
  <si>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액형 염모제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튜브</t>
    </r>
    <r>
      <rPr>
        <sz val="9"/>
        <rFont val="맑은 고딕"/>
        <family val="0"/>
        <charset val="1"/>
      </rPr>
      <t xml:space="preserve">or </t>
    </r>
    <r>
      <rPr>
        <sz val="9"/>
        <rFont val="Noto Sans CJK SC"/>
        <family val="2"/>
      </rPr>
      <t xml:space="preserve">파우치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</si>
  <si>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액형 염모제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튜브 </t>
    </r>
    <r>
      <rPr>
        <sz val="9"/>
        <rFont val="맑은 고딕"/>
        <family val="0"/>
        <charset val="1"/>
      </rPr>
      <t xml:space="preserve">or </t>
    </r>
    <r>
      <rPr>
        <sz val="9"/>
        <rFont val="Noto Sans CJK SC"/>
        <family val="2"/>
      </rPr>
      <t xml:space="preserve">파우치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</si>
  <si>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펌글루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펌왁스</t>
    </r>
  </si>
  <si>
    <t xml:space="preserve">펌글루</t>
  </si>
  <si>
    <t xml:space="preserve">PN01</t>
  </si>
  <si>
    <r>
      <rPr>
        <sz val="9"/>
        <rFont val="맑은 고딕"/>
        <family val="0"/>
        <charset val="1"/>
      </rPr>
      <t xml:space="preserve">PN03 (</t>
    </r>
    <r>
      <rPr>
        <sz val="9"/>
        <rFont val="Noto Sans CJK SC"/>
        <family val="2"/>
      </rPr>
      <t xml:space="preserve">접착강화</t>
    </r>
    <r>
      <rPr>
        <sz val="9"/>
        <rFont val="맑은 고딕"/>
        <family val="0"/>
        <charset val="1"/>
      </rPr>
      <t xml:space="preserve">) PN03C (</t>
    </r>
    <r>
      <rPr>
        <sz val="9"/>
        <rFont val="Noto Sans CJK SC"/>
        <family val="2"/>
      </rPr>
      <t xml:space="preserve">접착강화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보습</t>
    </r>
    <r>
      <rPr>
        <sz val="9"/>
        <rFont val="맑은 고딕"/>
        <family val="0"/>
        <charset val="1"/>
      </rPr>
      <t xml:space="preserve">)</t>
    </r>
  </si>
  <si>
    <t xml:space="preserve">펌왁스</t>
  </si>
  <si>
    <r>
      <rPr>
        <sz val="9"/>
        <rFont val="맑은 고딕"/>
        <family val="0"/>
        <charset val="1"/>
      </rPr>
      <t xml:space="preserve">B36 (</t>
    </r>
    <r>
      <rPr>
        <sz val="9"/>
        <rFont val="Noto Sans CJK SC"/>
        <family val="2"/>
      </rPr>
      <t xml:space="preserve">투명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</si>
  <si>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B36-WP (</t>
    </r>
    <r>
      <rPr>
        <sz val="9"/>
        <rFont val="Noto Sans CJK SC"/>
        <family val="2"/>
      </rPr>
      <t xml:space="preserve">백색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</si>
  <si>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B36-WS (</t>
    </r>
    <r>
      <rPr>
        <sz val="9"/>
        <rFont val="Noto Sans CJK SC"/>
        <family val="2"/>
      </rPr>
      <t xml:space="preserve">백색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튜브형</t>
    </r>
    <r>
      <rPr>
        <sz val="9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</si>
  <si>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※ 본 시트는 </t>
    </r>
    <r>
      <rPr>
        <i val="true"/>
        <sz val="9"/>
        <color rgb="FF7F7F7F"/>
        <rFont val="맑은 고딕"/>
        <family val="0"/>
        <charset val="1"/>
      </rPr>
      <t xml:space="preserve">'</t>
    </r>
    <r>
      <rPr>
        <i val="true"/>
        <sz val="9"/>
        <color rgb="FF7F7F7F"/>
        <rFont val="Noto Sans CJK SC"/>
        <family val="2"/>
      </rPr>
      <t xml:space="preserve">맥본</t>
    </r>
    <r>
      <rPr>
        <i val="true"/>
        <sz val="9"/>
        <color rgb="FF7F7F7F"/>
        <rFont val="맑은 고딕"/>
        <family val="0"/>
        <charset val="1"/>
      </rPr>
      <t xml:space="preserve">_</t>
    </r>
    <r>
      <rPr>
        <i val="true"/>
        <sz val="9"/>
        <color rgb="FF7F7F7F"/>
        <rFont val="Noto Sans CJK SC"/>
        <family val="2"/>
      </rPr>
      <t xml:space="preserve">원가표</t>
    </r>
    <r>
      <rPr>
        <i val="true"/>
        <sz val="9"/>
        <color rgb="FF7F7F7F"/>
        <rFont val="맑은 고딕"/>
        <family val="0"/>
        <charset val="1"/>
      </rPr>
      <t xml:space="preserve">' </t>
    </r>
    <r>
      <rPr>
        <i val="true"/>
        <sz val="9"/>
        <color rgb="FF7F7F7F"/>
        <rFont val="Noto Sans CJK SC"/>
        <family val="2"/>
      </rPr>
      <t xml:space="preserve">시트를 수식으로 참조하며</t>
    </r>
    <r>
      <rPr>
        <i val="true"/>
        <sz val="9"/>
        <color rgb="FF7F7F7F"/>
        <rFont val="맑은 고딕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원가표 수정 시 자동 반영됩니다</t>
    </r>
    <r>
      <rPr>
        <i val="true"/>
        <sz val="9"/>
        <color rgb="FF7F7F7F"/>
        <rFont val="맑은 고딕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</si>
  <si>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※ 등급별 판가는 </t>
    </r>
    <r>
      <rPr>
        <i val="true"/>
        <sz val="9"/>
        <color rgb="FF7F7F7F"/>
        <rFont val="맑은 고딕"/>
        <family val="0"/>
        <charset val="1"/>
      </rPr>
      <t xml:space="preserve">kg</t>
    </r>
    <r>
      <rPr>
        <i val="true"/>
        <sz val="9"/>
        <color rgb="FF7F7F7F"/>
        <rFont val="Noto Sans CJK SC"/>
        <family val="2"/>
      </rPr>
      <t xml:space="preserve">당 기준이며 할인율은 </t>
    </r>
    <r>
      <rPr>
        <i val="true"/>
        <sz val="9"/>
        <color rgb="FF7F7F7F"/>
        <rFont val="맑은 고딕"/>
        <family val="0"/>
        <charset val="1"/>
      </rPr>
      <t xml:space="preserve">D-C 0% / B 10% / A 15% / A+ 20%, '20%</t>
    </r>
    <r>
      <rPr>
        <i val="true"/>
        <sz val="9"/>
        <color rgb="FF7F7F7F"/>
        <rFont val="Noto Sans CJK SC"/>
        <family val="2"/>
      </rPr>
      <t xml:space="preserve">할인 개당가</t>
    </r>
    <r>
      <rPr>
        <i val="true"/>
        <sz val="9"/>
        <color rgb="FF7F7F7F"/>
        <rFont val="맑은 고딕"/>
        <family val="0"/>
        <charset val="1"/>
      </rPr>
      <t xml:space="preserve">'</t>
    </r>
    <r>
      <rPr>
        <i val="true"/>
        <sz val="9"/>
        <color rgb="FF7F7F7F"/>
        <rFont val="Noto Sans CJK SC"/>
        <family val="2"/>
      </rPr>
      <t xml:space="preserve">는 표준판가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개당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의 </t>
    </r>
    <r>
      <rPr>
        <i val="true"/>
        <sz val="9"/>
        <color rgb="FF7F7F7F"/>
        <rFont val="맑은 고딕"/>
        <family val="0"/>
        <charset val="1"/>
      </rPr>
      <t xml:space="preserve">80%</t>
    </r>
    <r>
      <rPr>
        <i val="true"/>
        <sz val="9"/>
        <color rgb="FF7F7F7F"/>
        <rFont val="Noto Sans CJK SC"/>
        <family val="2"/>
      </rPr>
      <t xml:space="preserve">입니다</t>
    </r>
    <r>
      <rPr>
        <i val="true"/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</si>
  <si>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일회용글루</t>
    </r>
    <r>
      <rPr>
        <b val="true"/>
        <sz val="18"/>
        <color theme="1"/>
        <rFont val="돋움"/>
        <family val="2"/>
        <charset val="129"/>
      </rPr>
      <t xml:space="preserve">/</t>
    </r>
    <r>
      <rPr>
        <b val="true"/>
        <sz val="18"/>
        <color theme="1"/>
        <rFont val="Noto Sans CJK SC"/>
        <family val="2"/>
      </rPr>
      <t xml:space="preserve">리무버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</si>
  <si>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sz val="9"/>
        <color theme="1"/>
        <rFont val="돋움"/>
        <family val="2"/>
        <charset val="129"/>
      </rPr>
      <t xml:space="preserve">1000</t>
    </r>
    <r>
      <rPr>
        <sz val="9"/>
        <color theme="1"/>
        <rFont val="Noto Sans CJK SC"/>
        <family val="2"/>
      </rPr>
      <t xml:space="preserve">개 작업시 표준공임</t>
    </r>
  </si>
  <si>
    <t xml:space="preserve">제품가</t>
  </si>
  <si>
    <t xml:space="preserve">참고용</t>
  </si>
  <si>
    <r>
      <rPr>
        <b val="true"/>
        <sz val="9"/>
        <color theme="1"/>
        <rFont val="Noto Sans CJK SC"/>
        <family val="2"/>
      </rPr>
      <t xml:space="preserve">업체등급별 할인율</t>
    </r>
    <r>
      <rPr>
        <b val="true"/>
        <sz val="9"/>
        <color theme="1"/>
        <rFont val="돋움"/>
        <family val="2"/>
        <charset val="129"/>
      </rPr>
      <t xml:space="preserve">(kg</t>
    </r>
    <r>
      <rPr>
        <b val="true"/>
        <sz val="9"/>
        <color theme="1"/>
        <rFont val="Noto Sans CJK SC"/>
        <family val="2"/>
      </rPr>
      <t xml:space="preserve">당</t>
    </r>
    <r>
      <rPr>
        <b val="true"/>
        <sz val="9"/>
        <color theme="1"/>
        <rFont val="돋움"/>
        <family val="2"/>
        <charset val="129"/>
      </rPr>
      <t xml:space="preserve">)</t>
    </r>
  </si>
  <si>
    <r>
      <rPr>
        <b val="true"/>
        <sz val="9"/>
        <color theme="1"/>
        <rFont val="Noto Sans CJK SC"/>
        <family val="2"/>
      </rPr>
      <t xml:space="preserve">포장사양 </t>
    </r>
    <r>
      <rPr>
        <b val="true"/>
        <sz val="9"/>
        <color theme="1"/>
        <rFont val="돋움"/>
        <family val="2"/>
        <charset val="129"/>
      </rPr>
      <t xml:space="preserve">(</t>
    </r>
    <r>
      <rPr>
        <b val="true"/>
        <sz val="9"/>
        <color theme="1"/>
        <rFont val="Noto Sans CJK SC"/>
        <family val="2"/>
      </rPr>
      <t xml:space="preserve">옵션가</t>
    </r>
    <r>
      <rPr>
        <b val="true"/>
        <sz val="9"/>
        <color theme="1"/>
        <rFont val="돋움"/>
        <family val="2"/>
        <charset val="129"/>
      </rPr>
      <t xml:space="preserve">)</t>
    </r>
  </si>
  <si>
    <t xml:space="preserve">제품분류</t>
  </si>
  <si>
    <t xml:space="preserve">규격</t>
  </si>
  <si>
    <r>
      <rPr>
        <b val="true"/>
        <sz val="9"/>
        <rFont val="Noto Sans CJK SC"/>
        <family val="2"/>
      </rPr>
      <t xml:space="preserve">공장출하가
</t>
    </r>
    <r>
      <rPr>
        <b val="true"/>
        <sz val="9"/>
        <rFont val="Malgun Gothic"/>
        <family val="2"/>
        <charset val="129"/>
      </rPr>
      <t xml:space="preserve">(RMB)</t>
    </r>
  </si>
  <si>
    <r>
      <rPr>
        <b val="true"/>
        <sz val="9"/>
        <rFont val="Noto Sans CJK SC"/>
        <family val="2"/>
      </rPr>
      <t xml:space="preserve">운임
</t>
    </r>
    <r>
      <rPr>
        <b val="true"/>
        <sz val="9"/>
        <rFont val="Malgun Gothic"/>
        <family val="2"/>
        <charset val="129"/>
      </rPr>
      <t xml:space="preserve">(RMB)</t>
    </r>
  </si>
  <si>
    <r>
      <rPr>
        <b val="true"/>
        <sz val="9"/>
        <rFont val="Noto Sans CJK SC"/>
        <family val="2"/>
      </rPr>
      <t xml:space="preserve">관부가세
</t>
    </r>
    <r>
      <rPr>
        <b val="true"/>
        <sz val="9"/>
        <rFont val="Malgun Gothic"/>
        <family val="2"/>
        <charset val="129"/>
      </rPr>
      <t xml:space="preserve">(RMB)</t>
    </r>
  </si>
  <si>
    <r>
      <rPr>
        <b val="true"/>
        <sz val="9"/>
        <rFont val="Noto Sans CJK SC"/>
        <family val="2"/>
      </rPr>
      <t xml:space="preserve">원가
</t>
    </r>
    <r>
      <rPr>
        <b val="true"/>
        <sz val="9"/>
        <rFont val="Malgun Gothic"/>
        <family val="2"/>
        <charset val="129"/>
      </rPr>
      <t xml:space="preserve">(RMB)</t>
    </r>
  </si>
  <si>
    <r>
      <rPr>
        <b val="true"/>
        <sz val="9"/>
        <rFont val="Noto Sans CJK SC"/>
        <family val="2"/>
      </rPr>
      <t xml:space="preserve">원가
</t>
    </r>
    <r>
      <rPr>
        <b val="true"/>
        <sz val="9"/>
        <rFont val="Malgun Gothic"/>
        <family val="2"/>
        <charset val="129"/>
      </rPr>
      <t xml:space="preserve">(KRW)</t>
    </r>
  </si>
  <si>
    <r>
      <rPr>
        <b val="true"/>
        <sz val="9"/>
        <color theme="1"/>
        <rFont val="Noto Sans CJK SC"/>
        <family val="2"/>
      </rPr>
      <t xml:space="preserve">충진규격
</t>
    </r>
    <r>
      <rPr>
        <b val="true"/>
        <sz val="9"/>
        <color theme="1"/>
        <rFont val="돋움"/>
        <family val="2"/>
        <charset val="129"/>
      </rPr>
      <t xml:space="preserve">(g)</t>
    </r>
  </si>
  <si>
    <r>
      <rPr>
        <b val="true"/>
        <sz val="9"/>
        <color theme="1"/>
        <rFont val="Noto Sans CJK SC"/>
        <family val="2"/>
      </rPr>
      <t xml:space="preserve">원가비</t>
    </r>
    <r>
      <rPr>
        <b val="true"/>
        <sz val="9"/>
        <color theme="1"/>
        <rFont val="돋움"/>
        <family val="2"/>
        <charset val="129"/>
      </rPr>
      <t xml:space="preserve">(A)</t>
    </r>
  </si>
  <si>
    <r>
      <rPr>
        <b val="true"/>
        <sz val="9"/>
        <color theme="1"/>
        <rFont val="Noto Sans CJK SC"/>
        <family val="2"/>
      </rPr>
      <t xml:space="preserve">공수</t>
    </r>
    <r>
      <rPr>
        <b val="true"/>
        <sz val="9"/>
        <color theme="1"/>
        <rFont val="돋움"/>
        <family val="2"/>
        <charset val="129"/>
      </rPr>
      <t xml:space="preserve">(</t>
    </r>
    <r>
      <rPr>
        <b val="true"/>
        <sz val="9"/>
        <color theme="1"/>
        <rFont val="Noto Sans CJK SC"/>
        <family val="2"/>
      </rPr>
      <t xml:space="preserve">초</t>
    </r>
    <r>
      <rPr>
        <b val="true"/>
        <sz val="9"/>
        <color theme="1"/>
        <rFont val="돋움"/>
        <family val="2"/>
        <charset val="129"/>
      </rPr>
      <t xml:space="preserve">)</t>
    </r>
  </si>
  <si>
    <r>
      <rPr>
        <b val="true"/>
        <sz val="9"/>
        <color theme="1"/>
        <rFont val="Noto Sans CJK SC"/>
        <family val="2"/>
      </rPr>
      <t xml:space="preserve">공임</t>
    </r>
    <r>
      <rPr>
        <b val="true"/>
        <sz val="9"/>
        <color theme="1"/>
        <rFont val="돋움"/>
        <family val="2"/>
        <charset val="129"/>
      </rPr>
      <t xml:space="preserve">(B)</t>
    </r>
  </si>
  <si>
    <r>
      <rPr>
        <b val="true"/>
        <sz val="9"/>
        <color theme="1"/>
        <rFont val="Noto Sans CJK SC"/>
        <family val="2"/>
      </rPr>
      <t xml:space="preserve">관리비</t>
    </r>
    <r>
      <rPr>
        <b val="true"/>
        <sz val="9"/>
        <color theme="1"/>
        <rFont val="돋움"/>
        <family val="2"/>
        <charset val="129"/>
      </rPr>
      <t xml:space="preserve">(C)</t>
    </r>
  </si>
  <si>
    <r>
      <rPr>
        <b val="true"/>
        <sz val="9"/>
        <color theme="1"/>
        <rFont val="Noto Sans CJK SC"/>
        <family val="2"/>
      </rPr>
      <t xml:space="preserve">충원가</t>
    </r>
    <r>
      <rPr>
        <b val="true"/>
        <sz val="9"/>
        <color theme="1"/>
        <rFont val="돋움"/>
        <family val="2"/>
        <charset val="129"/>
      </rPr>
      <t xml:space="preserve">(D)</t>
    </r>
  </si>
  <si>
    <r>
      <rPr>
        <b val="true"/>
        <sz val="9"/>
        <color theme="1"/>
        <rFont val="Noto Sans CJK SC"/>
        <family val="2"/>
      </rPr>
      <t xml:space="preserve">최소수량
</t>
    </r>
    <r>
      <rPr>
        <b val="true"/>
        <sz val="9"/>
        <color theme="1"/>
        <rFont val="돋움"/>
        <family val="2"/>
        <charset val="129"/>
      </rPr>
      <t xml:space="preserve">(ea)</t>
    </r>
  </si>
  <si>
    <r>
      <rPr>
        <b val="true"/>
        <sz val="9"/>
        <color theme="1"/>
        <rFont val="Noto Sans CJK SC"/>
        <family val="2"/>
      </rPr>
      <t xml:space="preserve">표준판가
</t>
    </r>
    <r>
      <rPr>
        <b val="true"/>
        <sz val="9"/>
        <color theme="1"/>
        <rFont val="돋움"/>
        <family val="2"/>
        <charset val="129"/>
      </rPr>
      <t xml:space="preserve">(E)</t>
    </r>
  </si>
  <si>
    <r>
      <rPr>
        <b val="true"/>
        <sz val="9"/>
        <rFont val="Noto Sans CJK SC"/>
        <family val="2"/>
      </rPr>
      <t xml:space="preserve">한국표준판가
</t>
    </r>
    <r>
      <rPr>
        <b val="true"/>
        <sz val="9"/>
        <rFont val="Malgun Gothic"/>
        <family val="2"/>
        <charset val="129"/>
      </rPr>
      <t xml:space="preserve">(kg</t>
    </r>
    <r>
      <rPr>
        <b val="true"/>
        <sz val="9"/>
        <rFont val="Noto Sans CJK SC"/>
        <family val="2"/>
      </rPr>
      <t xml:space="preserve">당</t>
    </r>
    <r>
      <rPr>
        <b val="true"/>
        <sz val="9"/>
        <rFont val="Malgun Gothic"/>
        <family val="2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</si>
  <si>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평균표준판가
</t>
    </r>
    <r>
      <rPr>
        <b val="true"/>
        <sz val="9"/>
        <rFont val="Malgun Gothic"/>
        <family val="2"/>
        <charset val="129"/>
      </rPr>
      <t xml:space="preserve">(kg</t>
    </r>
    <r>
      <rPr>
        <b val="true"/>
        <sz val="9"/>
        <rFont val="Noto Sans CJK SC"/>
        <family val="2"/>
      </rPr>
      <t xml:space="preserve">당</t>
    </r>
    <r>
      <rPr>
        <b val="true"/>
        <sz val="9"/>
        <rFont val="Malgun Gothic"/>
        <family val="2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</si>
  <si>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중국표준판가
</t>
    </r>
    <r>
      <rPr>
        <b val="true"/>
        <sz val="9"/>
        <rFont val="Malgun Gothic"/>
        <family val="2"/>
        <charset val="129"/>
      </rPr>
      <t xml:space="preserve">(kg</t>
    </r>
    <r>
      <rPr>
        <b val="true"/>
        <sz val="9"/>
        <rFont val="Noto Sans CJK SC"/>
        <family val="2"/>
      </rPr>
      <t xml:space="preserve">당</t>
    </r>
    <r>
      <rPr>
        <b val="true"/>
        <sz val="9"/>
        <rFont val="Malgun Gothic"/>
        <family val="2"/>
        <charset val="129"/>
      </rPr>
      <t xml:space="preserve">)</t>
    </r>
  </si>
  <si>
    <t xml:space="preserve">D-C</t>
  </si>
  <si>
    <t xml:space="preserve">B</t>
  </si>
  <si>
    <t xml:space="preserve">A</t>
  </si>
  <si>
    <t xml:space="preserve">A+</t>
  </si>
  <si>
    <r>
      <rPr>
        <b val="true"/>
        <sz val="9"/>
        <rFont val="Noto Sans CJK SC"/>
        <family val="2"/>
      </rPr>
      <t xml:space="preserve">마진율
</t>
    </r>
    <r>
      <rPr>
        <b val="true"/>
        <sz val="9"/>
        <rFont val="Malgun Gothic"/>
        <family val="2"/>
        <charset val="129"/>
      </rPr>
      <t xml:space="preserve">(20%</t>
    </r>
    <r>
      <rPr>
        <b val="true"/>
        <sz val="9"/>
        <rFont val="Noto Sans CJK SC"/>
        <family val="2"/>
      </rPr>
      <t xml:space="preserve">할인시</t>
    </r>
    <r>
      <rPr>
        <b val="true"/>
        <sz val="9"/>
        <rFont val="Malgun Gothic"/>
        <family val="2"/>
        <charset val="129"/>
      </rPr>
      <t xml:space="preserve">)</t>
    </r>
  </si>
  <si>
    <t xml:space="preserve">비고</t>
  </si>
  <si>
    <t xml:space="preserve">라벨포장</t>
  </si>
  <si>
    <t xml:space="preserve">단상자포장</t>
  </si>
  <si>
    <t xml:space="preserve">로스율</t>
  </si>
  <si>
    <r>
      <rPr>
        <b val="true"/>
        <sz val="9"/>
        <color theme="1"/>
        <rFont val="Noto Sans CJK SC"/>
        <family val="2"/>
      </rPr>
      <t xml:space="preserve">임률</t>
    </r>
    <r>
      <rPr>
        <b val="true"/>
        <sz val="9"/>
        <color theme="1"/>
        <rFont val="돋움"/>
        <family val="2"/>
        <charset val="129"/>
      </rPr>
      <t xml:space="preserve">(</t>
    </r>
    <r>
      <rPr>
        <b val="true"/>
        <sz val="9"/>
        <color theme="1"/>
        <rFont val="Noto Sans CJK SC"/>
        <family val="2"/>
      </rPr>
      <t xml:space="preserve">원</t>
    </r>
    <r>
      <rPr>
        <b val="true"/>
        <sz val="9"/>
        <color theme="1"/>
        <rFont val="돋움"/>
        <family val="2"/>
        <charset val="129"/>
      </rPr>
      <t xml:space="preserve">)</t>
    </r>
  </si>
  <si>
    <r>
      <rPr>
        <sz val="8"/>
        <color theme="1"/>
        <rFont val="Noto Sans CJK SC"/>
        <family val="2"/>
      </rPr>
      <t xml:space="preserve">충진</t>
    </r>
    <r>
      <rPr>
        <sz val="8"/>
        <color theme="1"/>
        <rFont val="돋움"/>
        <family val="2"/>
        <charset val="129"/>
      </rPr>
      <t xml:space="preserve">+</t>
    </r>
    <r>
      <rPr>
        <sz val="8"/>
        <color theme="1"/>
        <rFont val="Noto Sans CJK SC"/>
        <family val="2"/>
      </rPr>
      <t xml:space="preserve">캡핑</t>
    </r>
    <r>
      <rPr>
        <sz val="8"/>
        <color theme="1"/>
        <rFont val="돋움"/>
        <family val="2"/>
        <charset val="129"/>
      </rPr>
      <t xml:space="preserve">+</t>
    </r>
    <r>
      <rPr>
        <sz val="8"/>
        <color theme="1"/>
        <rFont val="Noto Sans CJK SC"/>
        <family val="2"/>
      </rPr>
      <t xml:space="preserve">마킹</t>
    </r>
  </si>
  <si>
    <t xml:space="preserve">(A+B)*10%</t>
  </si>
  <si>
    <t xml:space="preserve">(A+B+C)</t>
  </si>
  <si>
    <t xml:space="preserve">최소수량기준</t>
  </si>
  <si>
    <t xml:space="preserve">(E-D)/E</t>
  </si>
  <si>
    <t xml:space="preserve">할인율</t>
  </si>
  <si>
    <t xml:space="preserve">아크릴
에멀젼</t>
  </si>
  <si>
    <t xml:space="preserve">1kg</t>
  </si>
  <si>
    <t xml:space="preserve">용기포함</t>
  </si>
  <si>
    <t xml:space="preserve">-</t>
  </si>
  <si>
    <t xml:space="preserve">용기별도</t>
  </si>
  <si>
    <t xml:space="preserve">아크릴
리무버</t>
  </si>
  <si>
    <r>
      <rPr>
        <b val="true"/>
        <sz val="9"/>
        <rFont val="Arial"/>
        <family val="2"/>
        <charset val="1"/>
      </rPr>
      <t xml:space="preserve">U-304
(</t>
    </r>
    <r>
      <rPr>
        <b val="true"/>
        <sz val="9"/>
        <rFont val="Noto Sans CJK SC"/>
        <family val="2"/>
      </rPr>
      <t xml:space="preserve">제거력 강화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</si>
  <si>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연장용글루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</si>
  <si>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KC SERIES
(</t>
    </r>
    <r>
      <rPr>
        <b val="true"/>
        <sz val="9"/>
        <rFont val="Noto Sans CJK SC"/>
        <family val="2"/>
      </rPr>
      <t xml:space="preserve">초고순도 </t>
    </r>
    <r>
      <rPr>
        <b val="true"/>
        <sz val="9"/>
        <rFont val="Arial"/>
        <family val="2"/>
        <charset val="1"/>
      </rPr>
      <t xml:space="preserve">/ MMA free, </t>
    </r>
    <r>
      <rPr>
        <b val="true"/>
        <sz val="9"/>
        <rFont val="Noto Sans CJK SC"/>
        <family val="2"/>
      </rPr>
      <t xml:space="preserve">전문가용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</si>
  <si>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KCB/T SERIES
(</t>
    </r>
    <r>
      <rPr>
        <b val="true"/>
        <sz val="9"/>
        <rFont val="Noto Sans CJK SC"/>
        <family val="2"/>
      </rPr>
      <t xml:space="preserve">저온저습 </t>
    </r>
    <r>
      <rPr>
        <b val="true"/>
        <sz val="9"/>
        <rFont val="Arial"/>
        <family val="2"/>
        <charset val="1"/>
      </rPr>
      <t xml:space="preserve">/ MMA free, </t>
    </r>
    <r>
      <rPr>
        <b val="true"/>
        <sz val="9"/>
        <rFont val="Noto Sans CJK SC"/>
        <family val="2"/>
      </rPr>
      <t xml:space="preserve">전문가용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</si>
  <si>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KC301
(</t>
    </r>
    <r>
      <rPr>
        <b val="true"/>
        <sz val="9"/>
        <rFont val="Noto Sans CJK SC"/>
        <family val="2"/>
      </rPr>
      <t xml:space="preserve">초고순도 </t>
    </r>
    <r>
      <rPr>
        <b val="true"/>
        <sz val="9"/>
        <rFont val="Arial"/>
        <family val="2"/>
        <charset val="1"/>
      </rPr>
      <t xml:space="preserve">/ MMA free / 
</t>
    </r>
    <r>
      <rPr>
        <b val="true"/>
        <sz val="9"/>
        <rFont val="Noto Sans CJK SC"/>
        <family val="2"/>
      </rPr>
      <t xml:space="preserve">셀프용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무취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저자극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</si>
  <si>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TH SERIES
(</t>
    </r>
    <r>
      <rPr>
        <b val="true"/>
        <sz val="9"/>
        <rFont val="Noto Sans CJK SC"/>
        <family val="2"/>
      </rPr>
      <t xml:space="preserve">초고순도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저온저습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</si>
  <si>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CM SERIES
(</t>
    </r>
    <r>
      <rPr>
        <b val="true"/>
        <sz val="9"/>
        <rFont val="Noto Sans CJK SC"/>
        <family val="2"/>
      </rPr>
      <t xml:space="preserve">초고순도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유연성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</si>
  <si>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S SERIES
(</t>
    </r>
    <r>
      <rPr>
        <b val="true"/>
        <sz val="9"/>
        <rFont val="Noto Sans CJK SC"/>
        <family val="2"/>
      </rPr>
      <t xml:space="preserve">고순도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빠른경화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</si>
  <si>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E SERIES
(</t>
    </r>
    <r>
      <rPr>
        <b val="true"/>
        <sz val="9"/>
        <rFont val="Noto Sans CJK SC"/>
        <family val="2"/>
      </rPr>
      <t xml:space="preserve">보급형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</si>
  <si>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K158-R9
(PMMA, </t>
    </r>
    <r>
      <rPr>
        <b val="true"/>
        <sz val="9"/>
        <rFont val="Noto Sans CJK SC"/>
        <family val="2"/>
      </rPr>
      <t xml:space="preserve">무취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저자극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</si>
  <si>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리무버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</si>
  <si>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GBL REMOVER
K25 / K26 / K27 / R145
(</t>
    </r>
    <r>
      <rPr>
        <b val="true"/>
        <sz val="9"/>
        <rFont val="Noto Sans CJK SC"/>
        <family val="2"/>
      </rPr>
      <t xml:space="preserve">겔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크림</t>
    </r>
    <r>
      <rPr>
        <b val="true"/>
        <sz val="9"/>
        <rFont val="Arial"/>
        <family val="2"/>
        <charset val="1"/>
      </rPr>
      <t xml:space="preserve">)</t>
    </r>
  </si>
  <si>
    <t xml:space="preserve">자체생산</t>
  </si>
  <si>
    <r>
      <rPr>
        <b val="true"/>
        <sz val="9"/>
        <rFont val="Arial"/>
        <family val="2"/>
        <charset val="1"/>
      </rPr>
      <t xml:space="preserve">P/C REMOVER
T61 (</t>
    </r>
    <r>
      <rPr>
        <b val="true"/>
        <sz val="9"/>
        <rFont val="Noto Sans CJK SC"/>
        <family val="2"/>
      </rPr>
      <t xml:space="preserve">에멀젼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</si>
  <si>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P/C REMOVER
T08 / TS01 / TS01(DL)
(</t>
    </r>
    <r>
      <rPr>
        <b val="true"/>
        <sz val="9"/>
        <rFont val="Noto Sans CJK SC"/>
        <family val="2"/>
      </rPr>
      <t xml:space="preserve">겔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크림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</si>
  <si>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래쉬샴푸</t>
    </r>
    <r>
      <rPr>
        <b val="true"/>
        <sz val="18"/>
        <color theme="1"/>
        <rFont val="돋움"/>
        <family val="2"/>
        <charset val="129"/>
      </rPr>
      <t xml:space="preserve">/</t>
    </r>
    <r>
      <rPr>
        <b val="true"/>
        <sz val="18"/>
        <color theme="1"/>
        <rFont val="Noto Sans CJK SC"/>
        <family val="2"/>
      </rPr>
      <t xml:space="preserve">전</t>
    </r>
    <r>
      <rPr>
        <b val="true"/>
        <sz val="18"/>
        <color theme="1"/>
        <rFont val="돋움"/>
        <family val="2"/>
        <charset val="129"/>
      </rPr>
      <t xml:space="preserve">,</t>
    </r>
    <r>
      <rPr>
        <b val="true"/>
        <sz val="18"/>
        <color theme="1"/>
        <rFont val="Noto Sans CJK SC"/>
        <family val="2"/>
      </rPr>
      <t xml:space="preserve">후처리제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</si>
  <si>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M01
(</t>
    </r>
    <r>
      <rPr>
        <b val="true"/>
        <sz val="9"/>
        <rFont val="Noto Sans CJK SC"/>
        <family val="2"/>
      </rPr>
      <t xml:space="preserve">버블폼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</si>
  <si>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P11D SERIES
(</t>
    </r>
    <r>
      <rPr>
        <b val="true"/>
        <sz val="9"/>
        <rFont val="Noto Sans CJK SC"/>
        <family val="2"/>
      </rPr>
      <t xml:space="preserve">알콜함유 전처리제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</si>
  <si>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AT26
(</t>
    </r>
    <r>
      <rPr>
        <b val="true"/>
        <sz val="9"/>
        <rFont val="Noto Sans CJK SC"/>
        <family val="2"/>
      </rPr>
      <t xml:space="preserve">음이온부여</t>
    </r>
    <r>
      <rPr>
        <b val="true"/>
        <sz val="9"/>
        <rFont val="Arial"/>
        <family val="2"/>
        <charset val="1"/>
      </rPr>
      <t xml:space="preserve">, ph</t>
    </r>
    <r>
      <rPr>
        <b val="true"/>
        <sz val="9"/>
        <rFont val="Noto Sans CJK SC"/>
        <family val="2"/>
      </rPr>
      <t xml:space="preserve">조절기능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</si>
  <si>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코팅제</t>
    </r>
    <r>
      <rPr>
        <b val="true"/>
        <sz val="18"/>
        <color theme="1"/>
        <rFont val="돋움"/>
        <family val="2"/>
        <charset val="129"/>
      </rPr>
      <t xml:space="preserve">/</t>
    </r>
    <r>
      <rPr>
        <b val="true"/>
        <sz val="18"/>
        <color theme="1"/>
        <rFont val="Noto Sans CJK SC"/>
        <family val="2"/>
      </rPr>
      <t xml:space="preserve">픽서</t>
    </r>
    <r>
      <rPr>
        <b val="true"/>
        <sz val="18"/>
        <color theme="1"/>
        <rFont val="돋움"/>
        <family val="2"/>
        <charset val="129"/>
      </rPr>
      <t xml:space="preserve">/</t>
    </r>
    <r>
      <rPr>
        <b val="true"/>
        <sz val="18"/>
        <color theme="1"/>
        <rFont val="Noto Sans CJK SC"/>
        <family val="2"/>
      </rPr>
      <t xml:space="preserve">영양제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</si>
  <si>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AL02
(</t>
    </r>
    <r>
      <rPr>
        <b val="true"/>
        <sz val="9"/>
        <rFont val="Noto Sans CJK SC"/>
        <family val="2"/>
      </rPr>
      <t xml:space="preserve">브로우 픽서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</si>
  <si>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펌제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</si>
  <si>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JT-TG8-1
(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1</t>
    </r>
    <r>
      <rPr>
        <b val="true"/>
        <sz val="9"/>
        <rFont val="Noto Sans CJK SC"/>
        <family val="2"/>
      </rPr>
      <t xml:space="preserve">제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치오계열 </t>
    </r>
    <r>
      <rPr>
        <b val="true"/>
        <sz val="9"/>
        <rFont val="Arial"/>
        <family val="2"/>
        <charset val="1"/>
      </rPr>
      <t xml:space="preserve">/ 8-10</t>
    </r>
    <r>
      <rPr>
        <b val="true"/>
        <sz val="9"/>
        <rFont val="Noto Sans CJK SC"/>
        <family val="2"/>
      </rPr>
      <t xml:space="preserve">분타입</t>
    </r>
    <r>
      <rPr>
        <b val="true"/>
        <sz val="9"/>
        <rFont val="Arial"/>
        <family val="2"/>
        <charset val="1"/>
      </rPr>
      <t xml:space="preserve">)
JT-TG9-1
(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1</t>
    </r>
    <r>
      <rPr>
        <b val="true"/>
        <sz val="9"/>
        <rFont val="Noto Sans CJK SC"/>
        <family val="2"/>
      </rPr>
      <t xml:space="preserve">제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치오계열 </t>
    </r>
    <r>
      <rPr>
        <b val="true"/>
        <sz val="9"/>
        <rFont val="Arial"/>
        <family val="2"/>
        <charset val="1"/>
      </rPr>
      <t xml:space="preserve">/ 5-7</t>
    </r>
    <r>
      <rPr>
        <b val="true"/>
        <sz val="9"/>
        <rFont val="Noto Sans CJK SC"/>
        <family val="2"/>
      </rPr>
      <t xml:space="preserve">분타입</t>
    </r>
    <r>
      <rPr>
        <b val="true"/>
        <sz val="9"/>
        <rFont val="Arial"/>
        <family val="2"/>
        <charset val="1"/>
      </rPr>
      <t xml:space="preserve">)</t>
    </r>
  </si>
  <si>
    <t xml:space="preserve">제판비별도</t>
  </si>
  <si>
    <r>
      <rPr>
        <b val="true"/>
        <sz val="9"/>
        <rFont val="Arial"/>
        <family val="2"/>
        <charset val="1"/>
      </rPr>
      <t xml:space="preserve">JT-BR8-2
(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2</t>
    </r>
    <r>
      <rPr>
        <b val="true"/>
        <sz val="9"/>
        <rFont val="Noto Sans CJK SC"/>
        <family val="2"/>
      </rPr>
      <t xml:space="preserve">제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브롬산계열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</si>
  <si>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JT-HP9-2
(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2</t>
    </r>
    <r>
      <rPr>
        <b val="true"/>
        <sz val="9"/>
        <rFont val="Noto Sans CJK SC"/>
        <family val="2"/>
      </rPr>
      <t xml:space="preserve">제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과산화수소계열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</si>
  <si>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JT-TRT-3
(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1.5</t>
    </r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Arial"/>
        <family val="2"/>
        <charset val="1"/>
      </rPr>
      <t xml:space="preserve">, </t>
    </r>
    <r>
      <rPr>
        <b val="true"/>
        <sz val="9"/>
        <rFont val="Noto Sans CJK SC"/>
        <family val="2"/>
      </rPr>
      <t xml:space="preserve">펌</t>
    </r>
    <r>
      <rPr>
        <b val="true"/>
        <sz val="9"/>
        <rFont val="Arial"/>
        <family val="2"/>
        <charset val="1"/>
      </rPr>
      <t xml:space="preserve">3</t>
    </r>
    <r>
      <rPr>
        <b val="true"/>
        <sz val="9"/>
        <rFont val="Noto Sans CJK SC"/>
        <family val="2"/>
      </rPr>
      <t xml:space="preserve">제 </t>
    </r>
    <r>
      <rPr>
        <b val="true"/>
        <sz val="9"/>
        <rFont val="Arial"/>
        <family val="2"/>
        <charset val="1"/>
      </rPr>
      <t xml:space="preserve">/ </t>
    </r>
    <r>
      <rPr>
        <b val="true"/>
        <sz val="9"/>
        <rFont val="Noto Sans CJK SC"/>
        <family val="2"/>
      </rPr>
      <t xml:space="preserve">영양트리트먼트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</si>
  <si>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염모제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</si>
  <si>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Noto Sans CJK SC"/>
        <family val="2"/>
      </rPr>
      <t xml:space="preserve">틴팅제 </t>
    </r>
    <r>
      <rPr>
        <b val="true"/>
        <sz val="9"/>
        <rFont val="Arial"/>
        <family val="2"/>
        <charset val="129"/>
      </rPr>
      <t xml:space="preserve">(</t>
    </r>
    <r>
      <rPr>
        <b val="true"/>
        <sz val="9"/>
        <rFont val="Noto Sans CJK SC"/>
        <family val="2"/>
      </rPr>
      <t xml:space="preserve">마스카라형</t>
    </r>
    <r>
      <rPr>
        <b val="true"/>
        <sz val="9"/>
        <rFont val="Arial"/>
        <family val="2"/>
        <charset val="129"/>
      </rPr>
      <t xml:space="preserve">)</t>
    </r>
  </si>
  <si>
    <r>
      <rPr>
        <b val="true"/>
        <sz val="9"/>
        <rFont val="Arial"/>
        <family val="2"/>
        <charset val="1"/>
      </rPr>
      <t xml:space="preserve">1</t>
    </r>
    <r>
      <rPr>
        <b val="true"/>
        <sz val="9"/>
        <rFont val="Noto Sans CJK SC"/>
        <family val="2"/>
      </rPr>
      <t xml:space="preserve">액형 염모제 </t>
    </r>
    <r>
      <rPr>
        <b val="true"/>
        <sz val="9"/>
        <rFont val="Arial"/>
        <family val="2"/>
        <charset val="1"/>
      </rPr>
      <t xml:space="preserve">(</t>
    </r>
    <r>
      <rPr>
        <b val="true"/>
        <sz val="9"/>
        <rFont val="Noto Sans CJK SC"/>
        <family val="2"/>
      </rPr>
      <t xml:space="preserve">튜브</t>
    </r>
    <r>
      <rPr>
        <b val="true"/>
        <sz val="9"/>
        <rFont val="Arial"/>
        <family val="2"/>
        <charset val="1"/>
      </rPr>
      <t xml:space="preserve">or </t>
    </r>
    <r>
      <rPr>
        <b val="true"/>
        <sz val="9"/>
        <rFont val="Noto Sans CJK SC"/>
        <family val="2"/>
      </rPr>
      <t xml:space="preserve">파우치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</si>
  <si>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2</t>
    </r>
    <r>
      <rPr>
        <b val="true"/>
        <sz val="9"/>
        <rFont val="Noto Sans CJK SC"/>
        <family val="2"/>
      </rPr>
      <t xml:space="preserve">액형 염모제 </t>
    </r>
    <r>
      <rPr>
        <b val="true"/>
        <sz val="9"/>
        <rFont val="Arial"/>
        <family val="2"/>
        <charset val="1"/>
      </rPr>
      <t xml:space="preserve">(</t>
    </r>
    <r>
      <rPr>
        <b val="true"/>
        <sz val="9"/>
        <rFont val="Noto Sans CJK SC"/>
        <family val="2"/>
      </rPr>
      <t xml:space="preserve">튜브 </t>
    </r>
    <r>
      <rPr>
        <b val="true"/>
        <sz val="9"/>
        <rFont val="Arial"/>
        <family val="2"/>
        <charset val="1"/>
      </rPr>
      <t xml:space="preserve">or </t>
    </r>
    <r>
      <rPr>
        <b val="true"/>
        <sz val="9"/>
        <rFont val="Noto Sans CJK SC"/>
        <family val="2"/>
      </rPr>
      <t xml:space="preserve">파우치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</si>
  <si>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18"/>
        <color theme="1"/>
        <rFont val="돋움"/>
        <family val="2"/>
        <charset val="129"/>
      </rPr>
      <t xml:space="preserve">MB </t>
    </r>
    <r>
      <rPr>
        <b val="true"/>
        <sz val="18"/>
        <color theme="1"/>
        <rFont val="Noto Sans CJK SC"/>
        <family val="2"/>
      </rPr>
      <t xml:space="preserve">전제품 표준견적서 </t>
    </r>
    <r>
      <rPr>
        <b val="true"/>
        <sz val="18"/>
        <color theme="1"/>
        <rFont val="돋움"/>
        <family val="2"/>
        <charset val="129"/>
      </rPr>
      <t xml:space="preserve">[</t>
    </r>
    <r>
      <rPr>
        <b val="true"/>
        <sz val="18"/>
        <color theme="1"/>
        <rFont val="Noto Sans CJK SC"/>
        <family val="2"/>
      </rPr>
      <t xml:space="preserve">펌글루</t>
    </r>
    <r>
      <rPr>
        <b val="true"/>
        <sz val="18"/>
        <color theme="1"/>
        <rFont val="돋움"/>
        <family val="2"/>
        <charset val="129"/>
      </rPr>
      <t xml:space="preserve">/</t>
    </r>
    <r>
      <rPr>
        <b val="true"/>
        <sz val="18"/>
        <color theme="1"/>
        <rFont val="Noto Sans CJK SC"/>
        <family val="2"/>
      </rPr>
      <t xml:space="preserve">펌왁스</t>
    </r>
    <r>
      <rPr>
        <b val="true"/>
        <sz val="18"/>
        <color theme="1"/>
        <rFont val="돋움"/>
        <family val="2"/>
        <charset val="129"/>
      </rPr>
      <t xml:space="preserve">]</t>
    </r>
  </si>
  <si>
    <r>
      <rPr>
        <b val="true"/>
        <sz val="9"/>
        <rFont val="Arial"/>
        <family val="2"/>
        <charset val="1"/>
      </rPr>
      <t xml:space="preserve">PN03 (</t>
    </r>
    <r>
      <rPr>
        <b val="true"/>
        <sz val="9"/>
        <rFont val="Noto Sans CJK SC"/>
        <family val="2"/>
      </rPr>
      <t xml:space="preserve">접착강화</t>
    </r>
    <r>
      <rPr>
        <b val="true"/>
        <sz val="9"/>
        <rFont val="Arial"/>
        <family val="2"/>
        <charset val="1"/>
      </rPr>
      <t xml:space="preserve">)
PN03C (</t>
    </r>
    <r>
      <rPr>
        <b val="true"/>
        <sz val="9"/>
        <rFont val="Noto Sans CJK SC"/>
        <family val="2"/>
      </rPr>
      <t xml:space="preserve">접착강화</t>
    </r>
    <r>
      <rPr>
        <b val="true"/>
        <sz val="9"/>
        <rFont val="Arial"/>
        <family val="2"/>
        <charset val="1"/>
      </rPr>
      <t xml:space="preserve">+</t>
    </r>
    <r>
      <rPr>
        <b val="true"/>
        <sz val="9"/>
        <rFont val="Noto Sans CJK SC"/>
        <family val="2"/>
      </rPr>
      <t xml:space="preserve">보습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</si>
  <si>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B36
(</t>
    </r>
    <r>
      <rPr>
        <b val="true"/>
        <sz val="9"/>
        <rFont val="Noto Sans CJK SC"/>
        <family val="2"/>
      </rPr>
      <t xml:space="preserve">투명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</si>
  <si>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B36-WP
(</t>
    </r>
    <r>
      <rPr>
        <b val="true"/>
        <sz val="9"/>
        <rFont val="Noto Sans CJK SC"/>
        <family val="2"/>
      </rPr>
      <t xml:space="preserve">백색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</si>
  <si>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B36-WS
(</t>
    </r>
    <r>
      <rPr>
        <b val="true"/>
        <sz val="9"/>
        <rFont val="Noto Sans CJK SC"/>
        <family val="2"/>
      </rPr>
      <t xml:space="preserve">백색</t>
    </r>
    <r>
      <rPr>
        <b val="true"/>
        <sz val="9"/>
        <rFont val="Arial"/>
        <family val="2"/>
        <charset val="1"/>
      </rPr>
      <t xml:space="preserve">/</t>
    </r>
    <r>
      <rPr>
        <b val="true"/>
        <sz val="9"/>
        <rFont val="Noto Sans CJK SC"/>
        <family val="2"/>
      </rPr>
      <t xml:space="preserve">튜브형</t>
    </r>
    <r>
      <rPr>
        <b val="true"/>
        <sz val="9"/>
        <rFont val="Arial"/>
        <family val="2"/>
        <charset val="1"/>
      </rPr>
      <t xml:space="preserve">)</t>
    </r>
  </si>
  <si>
    <t xml:space="preserve">평균마진율</t>
  </si>
  <si>
    <t xml:space="preserve">V507</t>
  </si>
  <si>
    <t xml:space="preserve">CT62</t>
  </si>
  <si>
    <r>
      <rPr>
        <sz val="9"/>
        <color theme="1"/>
        <rFont val="Noto Sans CJK SC"/>
        <family val="2"/>
      </rPr>
      <t xml:space="preserve">원가비</t>
    </r>
    <r>
      <rPr>
        <sz val="9"/>
        <color theme="1"/>
        <rFont val="돋움"/>
        <family val="2"/>
        <charset val="129"/>
      </rPr>
      <t xml:space="preserve">+</t>
    </r>
    <r>
      <rPr>
        <sz val="9"/>
        <color theme="1"/>
        <rFont val="Noto Sans CJK SC"/>
        <family val="2"/>
      </rPr>
      <t xml:space="preserve">공임 </t>
    </r>
    <r>
      <rPr>
        <sz val="9"/>
        <color theme="1"/>
        <rFont val="돋움"/>
        <family val="2"/>
        <charset val="129"/>
      </rPr>
      <t xml:space="preserve">= </t>
    </r>
    <r>
      <rPr>
        <sz val="9"/>
        <color theme="1"/>
        <rFont val="Noto Sans CJK SC"/>
        <family val="2"/>
      </rPr>
      <t xml:space="preserve">총원가</t>
    </r>
  </si>
  <si>
    <r>
      <rPr>
        <sz val="9"/>
        <color theme="1"/>
        <rFont val="Noto Sans CJK SC"/>
        <family val="2"/>
      </rPr>
      <t xml:space="preserve">표준판가 </t>
    </r>
    <r>
      <rPr>
        <sz val="9"/>
        <color theme="1"/>
        <rFont val="돋움"/>
        <family val="2"/>
        <charset val="129"/>
      </rPr>
      <t xml:space="preserve">= </t>
    </r>
    <r>
      <rPr>
        <sz val="9"/>
        <color theme="1"/>
        <rFont val="Noto Sans CJK SC"/>
        <family val="2"/>
      </rPr>
      <t xml:space="preserve">기준가</t>
    </r>
  </si>
  <si>
    <t xml:space="preserve">10kg~</t>
  </si>
  <si>
    <t xml:space="preserve">100kg~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</si>
</sst>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(* #,##0_);_(* \(#,##0\);_(* \-_);_(@_)"/>
    <numFmt numFmtId="167" formatCode="_-\₩* #,##0_-;&quot;-₩&quot;* #,##0_-;_-\₩* \-_-;_-@_-"/>
    <numFmt numFmtId="168" formatCode="General"/>
    <numFmt numFmtId="169" formatCode="#,##0"/>
    <numFmt numFmtId="170" formatCode="0.0%"/>
    <numFmt numFmtId="171" formatCode="#,##0_);[RED]\(#,##0\)"/>
    <numFmt numFmtId="172" formatCode="#,##0_ "/>
    <numFmt numFmtId="173" formatCode="\₩#,##0.00"/>
    <numFmt numFmtId="174" formatCode="0%"/>
    <numFmt numFmtId="175" formatCode="[$¥-804]#,##0.00_);[RED]\([$¥-804]#,##0.00\)"/>
    <numFmt numFmtId="176" formatCode="\₩#,##0_);[RED]&quot;(₩&quot;#,##0\)"/>
    <numFmt numFmtId="177" formatCode="#,##0.00_ "/>
    <numFmt numFmtId="178" formatCode="0.00%"/>
    <numFmt numFmtId="179" formatCode="\₩#,##0"/>
  </numFmts>
  <fonts count="54">
    <font>
      <sz val="9"/>
      <color theme="1"/>
      <name val="돋움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name val="VNI-Times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1"/>
      <color theme="1"/>
      <name val="맑은 고딕"/>
      <family val="3"/>
      <charset val="129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MS Sans Serif"/>
      <family val="2"/>
      <charset val="1"/>
    </font>
    <font>
      <sz val="10"/>
      <color theme="1"/>
      <name val="Arial"/>
      <family val="2"/>
      <charset val="129"/>
    </font>
    <font>
      <b val="true"/>
      <sz val="14"/>
      <color rgb="FF1F4E5F"/>
      <name val="맑은 고딕"/>
      <family val="0"/>
      <charset val="1"/>
    </font>
    <font>
      <b val="true"/>
      <sz val="14"/>
      <color rgb="FF1F4E5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sz val="9"/>
      <name val="Noto Sans CJK SC"/>
      <family val="2"/>
    </font>
    <font>
      <sz val="9"/>
      <name val="맑은 고딕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맑은 고딕"/>
      <family val="0"/>
      <charset val="1"/>
    </font>
    <font>
      <sz val="9"/>
      <color theme="1"/>
      <name val="Arial"/>
      <family val="2"/>
      <charset val="1"/>
    </font>
    <font>
      <b val="true"/>
      <sz val="18"/>
      <color theme="1"/>
      <name val="돋움"/>
      <family val="2"/>
      <charset val="129"/>
    </font>
    <font>
      <sz val="9"/>
      <name val="Arial"/>
      <family val="2"/>
      <charset val="1"/>
    </font>
    <font>
      <b val="true"/>
      <sz val="18"/>
      <color theme="1"/>
      <name val="Noto Sans CJK SC"/>
      <family val="2"/>
    </font>
    <font>
      <sz val="9"/>
      <color theme="1"/>
      <name val="Noto Sans CJK SC"/>
      <family val="2"/>
    </font>
    <font>
      <b val="true"/>
      <sz val="9"/>
      <color theme="1"/>
      <name val="Noto Sans CJK SC"/>
      <family val="2"/>
    </font>
    <font>
      <b val="true"/>
      <sz val="9"/>
      <color theme="1"/>
      <name val="돋움"/>
      <family val="2"/>
      <charset val="129"/>
    </font>
    <font>
      <b val="true"/>
      <sz val="9"/>
      <name val="Noto Sans CJK SC"/>
      <family val="2"/>
    </font>
    <font>
      <b val="true"/>
      <sz val="9"/>
      <name val="Malgun Gothic"/>
      <family val="2"/>
      <charset val="129"/>
    </font>
    <font>
      <sz val="8"/>
      <color theme="1"/>
      <name val="Noto Sans CJK SC"/>
      <family val="2"/>
    </font>
    <font>
      <sz val="8"/>
      <color theme="1"/>
      <name val="돋움"/>
      <family val="2"/>
      <charset val="129"/>
    </font>
    <font>
      <b val="true"/>
      <sz val="9"/>
      <name val="Arial"/>
      <family val="2"/>
      <charset val="1"/>
    </font>
    <font>
      <sz val="9"/>
      <color rgb="FFFF0000"/>
      <name val="Noto Sans CJK SC"/>
      <family val="2"/>
    </font>
    <font>
      <b val="true"/>
      <sz val="9"/>
      <name val="Arial"/>
      <family val="2"/>
      <charset val="129"/>
    </font>
  </fonts>
  <fills count="4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D9D9D9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35708A"/>
      </patternFill>
    </fill>
    <fill>
      <patternFill patternType="solid">
        <fgColor rgb="FF800080"/>
        <bgColor rgb="FF800000"/>
      </patternFill>
    </fill>
    <fill>
      <patternFill patternType="solid">
        <fgColor rgb="FF33CCCC"/>
        <bgColor rgb="FF339966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1F4E5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35708A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DF3DC"/>
      </patternFill>
    </fill>
    <fill>
      <patternFill patternType="solid">
        <fgColor rgb="FF1F4E5F"/>
        <bgColor rgb="FF003366"/>
      </patternFill>
    </fill>
    <fill>
      <patternFill patternType="solid">
        <fgColor rgb="FF35708A"/>
        <bgColor rgb="FF1F4E5F"/>
      </patternFill>
    </fill>
    <fill>
      <patternFill patternType="solid">
        <fgColor rgb="FFE8F0E4"/>
        <bgColor rgb="FFEBF1DE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FDF3DC"/>
        <bgColor rgb="FFFDEADA"/>
      </patternFill>
    </fill>
    <fill>
      <patternFill patternType="solid">
        <fgColor rgb="FFFCE8E4"/>
        <bgColor rgb="FFFDEADA"/>
      </patternFill>
    </fill>
    <fill>
      <patternFill patternType="solid">
        <fgColor rgb="FFE4EEF8"/>
        <bgColor rgb="FFE4F2F1"/>
      </patternFill>
    </fill>
    <fill>
      <patternFill patternType="solid">
        <fgColor rgb="FFF0E8F5"/>
        <bgColor rgb="FFFBEAF0"/>
      </patternFill>
    </fill>
    <fill>
      <patternFill patternType="solid">
        <fgColor rgb="FFFBEAF0"/>
        <bgColor rgb="FFFCE8E4"/>
      </patternFill>
    </fill>
    <fill>
      <patternFill patternType="solid">
        <fgColor rgb="FFEFEFE6"/>
        <bgColor rgb="FFEBF1DE"/>
      </patternFill>
    </fill>
    <fill>
      <patternFill patternType="solid">
        <fgColor rgb="FFE4F2F1"/>
        <bgColor rgb="FFE4EEF8"/>
      </patternFill>
    </fill>
    <fill>
      <patternFill patternType="solid">
        <fgColor theme="9" tint="0.7999"/>
        <bgColor rgb="FFFCE8E4"/>
      </patternFill>
    </fill>
    <fill>
      <patternFill patternType="solid">
        <fgColor theme="8" tint="0.5999"/>
        <bgColor rgb="FFCCCCFF"/>
      </patternFill>
    </fill>
    <fill>
      <patternFill patternType="solid">
        <fgColor theme="8" tint="0.7999"/>
        <bgColor rgb="FFE4EEF8"/>
      </patternFill>
    </fill>
    <fill>
      <patternFill patternType="solid">
        <fgColor theme="6" tint="0.7999"/>
        <bgColor rgb="FFE8F0E4"/>
      </patternFill>
    </fill>
    <fill>
      <patternFill patternType="solid">
        <fgColor theme="7" tint="0.7999"/>
        <bgColor rgb="FFF0E8F5"/>
      </patternFill>
    </fill>
    <fill>
      <patternFill patternType="solid">
        <fgColor rgb="FFFFFF00"/>
        <bgColor rgb="FFFFCC00"/>
      </patternFill>
    </fill>
    <fill>
      <patternFill patternType="solid">
        <fgColor theme="0" tint="-0.15"/>
        <bgColor rgb="FFE6E0E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4E5F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4E5F"/>
      </top>
      <bottom style="medium">
        <color rgb="FF1F4E5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4E5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9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2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7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7" fillId="2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2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7" fillId="2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2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7" fillId="2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2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7" fillId="2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2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3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7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7" fillId="2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2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2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3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3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3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5" fillId="3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9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7" fillId="39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7" fillId="4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7" fillId="4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7" fillId="4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8" fillId="4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8" fillId="3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8" fillId="4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8" fillId="4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1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41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0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5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0" fillId="4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4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4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4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0" fillId="4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41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3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0" borderId="14" xfId="94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omma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2 2" xfId="58"/>
    <cellStyle name="Normal 2 2 2" xfId="59"/>
    <cellStyle name="Normal 2 3" xfId="60"/>
    <cellStyle name="Normal 3" xfId="61"/>
    <cellStyle name="Normal 3 2" xfId="62"/>
    <cellStyle name="Note 2" xfId="63"/>
    <cellStyle name="Output 2" xfId="64"/>
    <cellStyle name="Title 2" xfId="65"/>
    <cellStyle name="Total 2" xfId="66"/>
    <cellStyle name="Warning Text 2" xfId="67"/>
    <cellStyle name="쉼표 [0] 2" xfId="68"/>
    <cellStyle name="쉼표 [0] 3" xfId="69"/>
    <cellStyle name="통화 [0] 2" xfId="70"/>
    <cellStyle name="표준 10" xfId="71"/>
    <cellStyle name="표준 11" xfId="72"/>
    <cellStyle name="표준 12" xfId="73"/>
    <cellStyle name="표준 13" xfId="74"/>
    <cellStyle name="표준 14" xfId="75"/>
    <cellStyle name="표준 15" xfId="76"/>
    <cellStyle name="표준 16" xfId="77"/>
    <cellStyle name="표준 17" xfId="78"/>
    <cellStyle name="표준 18" xfId="79"/>
    <cellStyle name="표준 19" xfId="80"/>
    <cellStyle name="표준 2" xfId="81"/>
    <cellStyle name="표준 2 2" xfId="82"/>
    <cellStyle name="표준 20" xfId="83"/>
    <cellStyle name="표준 22" xfId="84"/>
    <cellStyle name="표준 3" xfId="85"/>
    <cellStyle name="표준 3 2" xfId="86"/>
    <cellStyle name="표준 4" xfId="87"/>
    <cellStyle name="표준 5" xfId="88"/>
    <cellStyle name="표준 5 2" xfId="89"/>
    <cellStyle name="표준 6" xfId="90"/>
    <cellStyle name="표준 7" xfId="91"/>
    <cellStyle name="표준 8" xfId="92"/>
    <cellStyle name="표준 9" xfId="93"/>
    <cellStyle name="Excel Built-in Comma [0]" xfId="94"/>
  </cellStyles>
  <colors>
    <indexedColors>
      <rgbColor rgb="FF000000"/>
      <rgbColor rgb="FFFFFFFF"/>
      <rgbColor rgb="FFFF0000"/>
      <rgbColor rgb="FF00FF00"/>
      <rgbColor rgb="FF0000FF"/>
      <rgbColor rgb="FFFFFF00"/>
      <rgbColor rgb="FFFBEAF0"/>
      <rgbColor rgb="FFE4F2F1"/>
      <rgbColor rgb="FF800000"/>
      <rgbColor rgb="FF008000"/>
      <rgbColor rgb="FF000080"/>
      <rgbColor rgb="FFD9D9D9"/>
      <rgbColor rgb="FF800080"/>
      <rgbColor rgb="FF35708A"/>
      <rgbColor rgb="FFC0C0C0"/>
      <rgbColor rgb="FF808080"/>
      <rgbColor rgb="FFBFBFBF"/>
      <rgbColor rgb="FFFCE8E4"/>
      <rgbColor rgb="FFFFFFCC"/>
      <rgbColor rgb="FFCCFFFF"/>
      <rgbColor rgb="FFF7FAFC"/>
      <rgbColor rgb="FFFF8080"/>
      <rgbColor rgb="FF0066CC"/>
      <rgbColor rgb="FFCCCCFF"/>
      <rgbColor rgb="FF000080"/>
      <rgbColor rgb="FFEFEFE6"/>
      <rgbColor rgb="FFFDF3DC"/>
      <rgbColor rgb="FFE4EEF8"/>
      <rgbColor rgb="FFEBF1DE"/>
      <rgbColor rgb="FF800000"/>
      <rgbColor rgb="FFE8F0E4"/>
      <rgbColor rgb="FF0000FF"/>
      <rgbColor rgb="FFE6E0EC"/>
      <rgbColor rgb="FFDBEEF4"/>
      <rgbColor rgb="FFCCFFCC"/>
      <rgbColor rgb="FFFFFF99"/>
      <rgbColor rgb="FF99CCFF"/>
      <rgbColor rgb="FFFF99CC"/>
      <rgbColor rgb="FFCC99FF"/>
      <rgbColor rgb="FFFFCC99"/>
      <rgbColor rgb="FFF0E8F5"/>
      <rgbColor rgb="FF33CCCC"/>
      <rgbColor rgb="FFB7DEE8"/>
      <rgbColor rgb="FFFFCC00"/>
      <rgbColor rgb="FFFF9900"/>
      <rgbColor rgb="FFFF6600"/>
      <rgbColor rgb="FF7F7F7F"/>
      <rgbColor rgb="FF969696"/>
      <rgbColor rgb="FF003366"/>
      <rgbColor rgb="FF339966"/>
      <rgbColor rgb="FF003300"/>
      <rgbColor rgb="FF1F4E5F"/>
      <rgbColor rgb="FF993300"/>
      <rgbColor rgb="FFFDEADA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U1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6015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9"/>
    <col collapsed="false" customWidth="true" hidden="false" outlineLevel="0" max="3" min="3" style="1" width="33"/>
    <col collapsed="false" customWidth="true" hidden="false" outlineLevel="0" max="4" min="4" style="1" width="6.5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9.5"/>
    <col collapsed="false" customWidth="true" hidden="false" outlineLevel="0" max="9" min="9" style="1" width="8"/>
    <col collapsed="false" customWidth="true" hidden="false" outlineLevel="0" max="13" min="10" style="1" width="10.5"/>
    <col collapsed="false" customWidth="true" hidden="false" outlineLevel="0" max="14" min="14" style="1" width="9.5"/>
    <col collapsed="false" customWidth="true" hidden="false" outlineLevel="0" max="15" min="15" style="1" width="9"/>
    <col collapsed="false" customWidth="true" hidden="false" outlineLevel="0" max="18" min="16" style="1" width="7"/>
    <col collapsed="false" customWidth="true" hidden="false" outlineLevel="0" max="19" min="19" style="1" width="6.5"/>
    <col collapsed="false" customWidth="true" hidden="false" outlineLevel="0" max="20" min="20" style="1" width="7"/>
    <col collapsed="false" customWidth="true" hidden="false" outlineLevel="0" max="21" min="21" style="1" width="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 t="s">
        <v>2</v>
      </c>
      <c r="G2" s="3"/>
      <c r="H2" s="3"/>
      <c r="I2" s="3"/>
      <c r="J2" s="3" t="s">
        <v>3</v>
      </c>
      <c r="K2" s="3"/>
      <c r="L2" s="3"/>
      <c r="M2" s="3"/>
      <c r="N2" s="3"/>
      <c r="O2" s="4" t="s">
        <v>4</v>
      </c>
      <c r="P2" s="3" t="s">
        <v>5</v>
      </c>
      <c r="Q2" s="3"/>
      <c r="R2" s="3"/>
      <c r="S2" s="3"/>
      <c r="T2" s="3"/>
      <c r="U2" s="3"/>
    </row>
    <row r="3" customFormat="false" ht="30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5" t="s">
        <v>20</v>
      </c>
      <c r="P3" s="5" t="s">
        <v>4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</row>
    <row r="4" customFormat="false" ht="15" hidden="false" customHeight="true" outlineLevel="0" collapsed="false">
      <c r="A4" s="7" t="s">
        <v>26</v>
      </c>
      <c r="B4" s="8" t="s">
        <v>27</v>
      </c>
      <c r="C4" s="9" t="s">
        <v>28</v>
      </c>
      <c r="D4" s="10" t="n">
        <f aca="false">맥본_원가표!J9</f>
        <v>1</v>
      </c>
      <c r="E4" s="11" t="n">
        <f aca="false">맥본_원가표!P9</f>
        <v>10000</v>
      </c>
      <c r="F4" s="12" t="n">
        <f aca="false">맥본_원가표!I9</f>
        <v>25930</v>
      </c>
      <c r="G4" s="12" t="n">
        <f aca="false">맥본_원가표!O9</f>
        <v>141.5003</v>
      </c>
      <c r="H4" s="12" t="n">
        <f aca="false">맥본_원가표!Q9</f>
        <v>150</v>
      </c>
      <c r="I4" s="13" t="n">
        <f aca="false">맥본_원가표!R9</f>
        <v>0.0566646666666668</v>
      </c>
      <c r="J4" s="12" t="n">
        <f aca="false">맥본_원가표!W9</f>
        <v>150000</v>
      </c>
      <c r="K4" s="12" t="n">
        <f aca="false">맥본_원가표!X9</f>
        <v>135000</v>
      </c>
      <c r="L4" s="12" t="n">
        <f aca="false">맥본_원가표!Y9</f>
        <v>127500</v>
      </c>
      <c r="M4" s="12" t="n">
        <f aca="false">맥본_원가표!Z9</f>
        <v>120000</v>
      </c>
      <c r="N4" s="12" t="n">
        <f aca="false">맥본_원가표!AA9</f>
        <v>120</v>
      </c>
      <c r="O4" s="10" t="str">
        <f aca="false">맥본_원가표!AC9</f>
        <v>용기포함</v>
      </c>
      <c r="P4" s="12" t="str">
        <f aca="false">맥본_원가표!AD9</f>
        <v>-</v>
      </c>
      <c r="Q4" s="12" t="n">
        <f aca="false">맥본_원가표!AE9</f>
        <v>300</v>
      </c>
      <c r="R4" s="12" t="n">
        <f aca="false">맥본_원가표!AF9</f>
        <v>150</v>
      </c>
      <c r="S4" s="12" t="n">
        <f aca="false">맥본_원가표!AG9</f>
        <v>50</v>
      </c>
      <c r="T4" s="12" t="n">
        <f aca="false">맥본_원가표!AH9</f>
        <v>100</v>
      </c>
      <c r="U4" s="12" t="n">
        <f aca="false">맥본_원가표!AI9</f>
        <v>200</v>
      </c>
    </row>
    <row r="5" customFormat="false" ht="15" hidden="false" customHeight="false" outlineLevel="0" collapsed="false">
      <c r="A5" s="7"/>
      <c r="B5" s="7"/>
      <c r="C5" s="7"/>
      <c r="D5" s="14" t="n">
        <f aca="false">맥본_원가표!J10</f>
        <v>3</v>
      </c>
      <c r="E5" s="15" t="n">
        <f aca="false">맥본_원가표!P10</f>
        <v>1000</v>
      </c>
      <c r="F5" s="16" t="n">
        <f aca="false">맥본_원가표!I9</f>
        <v>25930</v>
      </c>
      <c r="G5" s="16" t="n">
        <f aca="false">맥본_원가표!O10</f>
        <v>204.2509</v>
      </c>
      <c r="H5" s="16" t="n">
        <f aca="false">맥본_원가표!Q10</f>
        <v>400</v>
      </c>
      <c r="I5" s="17" t="n">
        <f aca="false">맥본_원가표!R10</f>
        <v>0.48937275</v>
      </c>
      <c r="J5" s="16" t="n">
        <f aca="false">맥본_원가표!W10</f>
        <v>133333.333333333</v>
      </c>
      <c r="K5" s="16" t="n">
        <f aca="false">맥본_원가표!X10</f>
        <v>120000</v>
      </c>
      <c r="L5" s="16" t="n">
        <f aca="false">맥본_원가표!Y10</f>
        <v>113333.333333333</v>
      </c>
      <c r="M5" s="16" t="n">
        <f aca="false">맥본_원가표!Z10</f>
        <v>106666.666666667</v>
      </c>
      <c r="N5" s="16" t="n">
        <f aca="false">맥본_원가표!AA10</f>
        <v>320</v>
      </c>
      <c r="O5" s="14" t="str">
        <f aca="false">맥본_원가표!AC10</f>
        <v>용기별도</v>
      </c>
      <c r="P5" s="16" t="str">
        <f aca="false">맥본_원가표!AD10</f>
        <v>-</v>
      </c>
      <c r="Q5" s="16" t="n">
        <f aca="false">맥본_원가표!AE10</f>
        <v>300</v>
      </c>
      <c r="R5" s="16" t="n">
        <f aca="false">맥본_원가표!AF10</f>
        <v>150</v>
      </c>
      <c r="S5" s="16" t="n">
        <f aca="false">맥본_원가표!AG10</f>
        <v>50</v>
      </c>
      <c r="T5" s="16" t="n">
        <f aca="false">맥본_원가표!AH10</f>
        <v>100</v>
      </c>
      <c r="U5" s="16" t="n">
        <f aca="false">맥본_원가표!AI10</f>
        <v>200</v>
      </c>
    </row>
    <row r="6" customFormat="false" ht="15" hidden="false" customHeight="false" outlineLevel="0" collapsed="false">
      <c r="A6" s="7"/>
      <c r="B6" s="7"/>
      <c r="C6" s="7"/>
      <c r="D6" s="14" t="n">
        <f aca="false">맥본_원가표!J11</f>
        <v>5</v>
      </c>
      <c r="E6" s="15" t="n">
        <f aca="false">맥본_원가표!P11</f>
        <v>1000</v>
      </c>
      <c r="F6" s="16" t="n">
        <f aca="false">맥본_원가표!I9</f>
        <v>25930</v>
      </c>
      <c r="G6" s="16" t="n">
        <f aca="false">맥본_원가표!O11</f>
        <v>267.0015</v>
      </c>
      <c r="H6" s="16" t="n">
        <f aca="false">맥본_원가표!Q11</f>
        <v>550</v>
      </c>
      <c r="I6" s="17" t="n">
        <f aca="false">맥본_원가표!R11</f>
        <v>0.514542727272727</v>
      </c>
      <c r="J6" s="16" t="n">
        <f aca="false">맥본_원가표!W11</f>
        <v>110000</v>
      </c>
      <c r="K6" s="16" t="n">
        <f aca="false">맥본_원가표!X11</f>
        <v>99000</v>
      </c>
      <c r="L6" s="16" t="n">
        <f aca="false">맥본_원가표!Y11</f>
        <v>93500</v>
      </c>
      <c r="M6" s="16" t="n">
        <f aca="false">맥본_원가표!Z11</f>
        <v>88000</v>
      </c>
      <c r="N6" s="16" t="n">
        <f aca="false">맥본_원가표!AA11</f>
        <v>440</v>
      </c>
      <c r="O6" s="14" t="str">
        <f aca="false">맥본_원가표!AC11</f>
        <v>용기별도</v>
      </c>
      <c r="P6" s="16" t="str">
        <f aca="false">맥본_원가표!AD11</f>
        <v>-</v>
      </c>
      <c r="Q6" s="16" t="n">
        <f aca="false">맥본_원가표!AE11</f>
        <v>300</v>
      </c>
      <c r="R6" s="16" t="n">
        <f aca="false">맥본_원가표!AF11</f>
        <v>150</v>
      </c>
      <c r="S6" s="16" t="n">
        <f aca="false">맥본_원가표!AG11</f>
        <v>50</v>
      </c>
      <c r="T6" s="16" t="n">
        <f aca="false">맥본_원가표!AH11</f>
        <v>100</v>
      </c>
      <c r="U6" s="16" t="n">
        <f aca="false">맥본_원가표!AI11</f>
        <v>200</v>
      </c>
    </row>
    <row r="7" customFormat="false" ht="15" hidden="false" customHeight="false" outlineLevel="0" collapsed="false">
      <c r="A7" s="7"/>
      <c r="B7" s="7"/>
      <c r="C7" s="9"/>
      <c r="D7" s="14" t="n">
        <f aca="false">맥본_원가표!J12</f>
        <v>7</v>
      </c>
      <c r="E7" s="15" t="n">
        <f aca="false">맥본_원가표!P12</f>
        <v>1000</v>
      </c>
      <c r="F7" s="16" t="n">
        <f aca="false">맥본_원가표!I9</f>
        <v>25930</v>
      </c>
      <c r="G7" s="16" t="n">
        <f aca="false">맥본_원가표!O12</f>
        <v>329.7521</v>
      </c>
      <c r="H7" s="16" t="n">
        <f aca="false">맥본_원가표!Q12</f>
        <v>700</v>
      </c>
      <c r="I7" s="17" t="n">
        <f aca="false">맥본_원가표!R12</f>
        <v>0.528925571428571</v>
      </c>
      <c r="J7" s="16" t="n">
        <f aca="false">맥본_원가표!W12</f>
        <v>100000</v>
      </c>
      <c r="K7" s="16" t="n">
        <f aca="false">맥본_원가표!X12</f>
        <v>90000</v>
      </c>
      <c r="L7" s="16" t="n">
        <f aca="false">맥본_원가표!Y12</f>
        <v>85000</v>
      </c>
      <c r="M7" s="16" t="n">
        <f aca="false">맥본_원가표!Z12</f>
        <v>80000</v>
      </c>
      <c r="N7" s="16" t="n">
        <f aca="false">맥본_원가표!AA12</f>
        <v>560</v>
      </c>
      <c r="O7" s="14" t="str">
        <f aca="false">맥본_원가표!AC12</f>
        <v>용기별도</v>
      </c>
      <c r="P7" s="16" t="str">
        <f aca="false">맥본_원가표!AD12</f>
        <v>-</v>
      </c>
      <c r="Q7" s="16" t="n">
        <f aca="false">맥본_원가표!AE12</f>
        <v>300</v>
      </c>
      <c r="R7" s="16" t="n">
        <f aca="false">맥본_원가표!AF12</f>
        <v>150</v>
      </c>
      <c r="S7" s="16" t="n">
        <f aca="false">맥본_원가표!AG12</f>
        <v>50</v>
      </c>
      <c r="T7" s="16" t="n">
        <f aca="false">맥본_원가표!AH12</f>
        <v>100</v>
      </c>
      <c r="U7" s="16" t="n">
        <f aca="false">맥본_원가표!AI12</f>
        <v>200</v>
      </c>
    </row>
    <row r="8" customFormat="false" ht="15" hidden="false" customHeight="true" outlineLevel="0" collapsed="false">
      <c r="A8" s="7"/>
      <c r="B8" s="7"/>
      <c r="C8" s="18" t="s">
        <v>29</v>
      </c>
      <c r="D8" s="19" t="n">
        <f aca="false">맥본_원가표!J13</f>
        <v>1</v>
      </c>
      <c r="E8" s="20" t="n">
        <f aca="false">맥본_원가표!P13</f>
        <v>10000</v>
      </c>
      <c r="F8" s="21" t="n">
        <f aca="false">맥본_원가표!I13</f>
        <v>17906</v>
      </c>
      <c r="G8" s="21" t="n">
        <f aca="false">맥본_원가표!O13</f>
        <v>131.79126</v>
      </c>
      <c r="H8" s="21" t="n">
        <f aca="false">맥본_원가표!Q13</f>
        <v>150</v>
      </c>
      <c r="I8" s="22" t="n">
        <f aca="false">맥본_원가표!R13</f>
        <v>0.1213916</v>
      </c>
      <c r="J8" s="21" t="n">
        <f aca="false">맥본_원가표!W13</f>
        <v>150000</v>
      </c>
      <c r="K8" s="21" t="n">
        <f aca="false">맥본_원가표!X13</f>
        <v>135000</v>
      </c>
      <c r="L8" s="21" t="n">
        <f aca="false">맥본_원가표!Y13</f>
        <v>127500</v>
      </c>
      <c r="M8" s="21" t="n">
        <f aca="false">맥본_원가표!Z13</f>
        <v>120000</v>
      </c>
      <c r="N8" s="21" t="n">
        <f aca="false">맥본_원가표!AA13</f>
        <v>120</v>
      </c>
      <c r="O8" s="19" t="str">
        <f aca="false">맥본_원가표!AC13</f>
        <v>용기포함</v>
      </c>
      <c r="P8" s="21" t="str">
        <f aca="false">맥본_원가표!AD13</f>
        <v>-</v>
      </c>
      <c r="Q8" s="21" t="n">
        <f aca="false">맥본_원가표!AE13</f>
        <v>300</v>
      </c>
      <c r="R8" s="21" t="n">
        <f aca="false">맥본_원가표!AF13</f>
        <v>150</v>
      </c>
      <c r="S8" s="21" t="n">
        <f aca="false">맥본_원가표!AG13</f>
        <v>50</v>
      </c>
      <c r="T8" s="21" t="n">
        <f aca="false">맥본_원가표!AH13</f>
        <v>100</v>
      </c>
      <c r="U8" s="21" t="n">
        <f aca="false">맥본_원가표!AI13</f>
        <v>200</v>
      </c>
    </row>
    <row r="9" customFormat="false" ht="15" hidden="false" customHeight="false" outlineLevel="0" collapsed="false">
      <c r="A9" s="7"/>
      <c r="B9" s="7"/>
      <c r="C9" s="7"/>
      <c r="D9" s="19" t="n">
        <f aca="false">맥본_원가표!J14</f>
        <v>3</v>
      </c>
      <c r="E9" s="20" t="n">
        <f aca="false">맥본_원가표!P14</f>
        <v>1000</v>
      </c>
      <c r="F9" s="21" t="n">
        <f aca="false">맥본_원가표!I13</f>
        <v>17906</v>
      </c>
      <c r="G9" s="21" t="n">
        <f aca="false">맥본_원가표!O14</f>
        <v>175.12378</v>
      </c>
      <c r="H9" s="21" t="n">
        <f aca="false">맥본_원가표!Q14</f>
        <v>400</v>
      </c>
      <c r="I9" s="22" t="n">
        <f aca="false">맥본_원가표!R14</f>
        <v>0.56219055</v>
      </c>
      <c r="J9" s="21" t="n">
        <f aca="false">맥본_원가표!W14</f>
        <v>133333.333333333</v>
      </c>
      <c r="K9" s="21" t="n">
        <f aca="false">맥본_원가표!X14</f>
        <v>120000</v>
      </c>
      <c r="L9" s="21" t="n">
        <f aca="false">맥본_원가표!Y14</f>
        <v>113333.333333333</v>
      </c>
      <c r="M9" s="21" t="n">
        <f aca="false">맥본_원가표!Z14</f>
        <v>106666.666666667</v>
      </c>
      <c r="N9" s="21" t="n">
        <f aca="false">맥본_원가표!AA14</f>
        <v>320</v>
      </c>
      <c r="O9" s="19" t="str">
        <f aca="false">맥본_원가표!AC14</f>
        <v>용기별도</v>
      </c>
      <c r="P9" s="21" t="str">
        <f aca="false">맥본_원가표!AD14</f>
        <v>-</v>
      </c>
      <c r="Q9" s="21" t="n">
        <f aca="false">맥본_원가표!AE14</f>
        <v>300</v>
      </c>
      <c r="R9" s="21" t="n">
        <f aca="false">맥본_원가표!AF14</f>
        <v>150</v>
      </c>
      <c r="S9" s="21" t="n">
        <f aca="false">맥본_원가표!AG14</f>
        <v>50</v>
      </c>
      <c r="T9" s="21" t="n">
        <f aca="false">맥본_원가표!AH14</f>
        <v>100</v>
      </c>
      <c r="U9" s="21" t="n">
        <f aca="false">맥본_원가표!AI14</f>
        <v>200</v>
      </c>
    </row>
    <row r="10" customFormat="false" ht="15" hidden="false" customHeight="false" outlineLevel="0" collapsed="false">
      <c r="A10" s="7"/>
      <c r="B10" s="7"/>
      <c r="C10" s="7"/>
      <c r="D10" s="19" t="n">
        <f aca="false">맥본_원가표!J15</f>
        <v>5</v>
      </c>
      <c r="E10" s="20" t="n">
        <f aca="false">맥본_원가표!P15</f>
        <v>1000</v>
      </c>
      <c r="F10" s="21" t="n">
        <f aca="false">맥본_원가표!I13</f>
        <v>17906</v>
      </c>
      <c r="G10" s="21" t="n">
        <f aca="false">맥본_원가표!O15</f>
        <v>218.4563</v>
      </c>
      <c r="H10" s="21" t="n">
        <f aca="false">맥본_원가표!Q15</f>
        <v>550</v>
      </c>
      <c r="I10" s="22" t="n">
        <f aca="false">맥본_원가표!R15</f>
        <v>0.602806727272727</v>
      </c>
      <c r="J10" s="21" t="n">
        <f aca="false">맥본_원가표!W15</f>
        <v>110000</v>
      </c>
      <c r="K10" s="21" t="n">
        <f aca="false">맥본_원가표!X15</f>
        <v>99000</v>
      </c>
      <c r="L10" s="21" t="n">
        <f aca="false">맥본_원가표!Y15</f>
        <v>93500</v>
      </c>
      <c r="M10" s="21" t="n">
        <f aca="false">맥본_원가표!Z15</f>
        <v>88000</v>
      </c>
      <c r="N10" s="21" t="n">
        <f aca="false">맥본_원가표!AA15</f>
        <v>440</v>
      </c>
      <c r="O10" s="19" t="str">
        <f aca="false">맥본_원가표!AC15</f>
        <v>용기별도</v>
      </c>
      <c r="P10" s="21" t="str">
        <f aca="false">맥본_원가표!AD15</f>
        <v>-</v>
      </c>
      <c r="Q10" s="21" t="n">
        <f aca="false">맥본_원가표!AE15</f>
        <v>300</v>
      </c>
      <c r="R10" s="21" t="n">
        <f aca="false">맥본_원가표!AF15</f>
        <v>150</v>
      </c>
      <c r="S10" s="21" t="n">
        <f aca="false">맥본_원가표!AG15</f>
        <v>50</v>
      </c>
      <c r="T10" s="21" t="n">
        <f aca="false">맥본_원가표!AH15</f>
        <v>100</v>
      </c>
      <c r="U10" s="21" t="n">
        <f aca="false">맥본_원가표!AI15</f>
        <v>200</v>
      </c>
    </row>
    <row r="11" customFormat="false" ht="15" hidden="false" customHeight="false" outlineLevel="0" collapsed="false">
      <c r="A11" s="7"/>
      <c r="B11" s="8"/>
      <c r="C11" s="8"/>
      <c r="D11" s="19" t="n">
        <f aca="false">맥본_원가표!J16</f>
        <v>7</v>
      </c>
      <c r="E11" s="20" t="n">
        <f aca="false">맥본_원가표!P16</f>
        <v>1000</v>
      </c>
      <c r="F11" s="21" t="n">
        <f aca="false">맥본_원가표!I13</f>
        <v>17906</v>
      </c>
      <c r="G11" s="21" t="n">
        <f aca="false">맥본_원가표!O16</f>
        <v>261.78882</v>
      </c>
      <c r="H11" s="21" t="n">
        <f aca="false">맥본_원가표!Q16</f>
        <v>700</v>
      </c>
      <c r="I11" s="22" t="n">
        <f aca="false">맥본_원가표!R16</f>
        <v>0.626015971428572</v>
      </c>
      <c r="J11" s="21" t="n">
        <f aca="false">맥본_원가표!W16</f>
        <v>100000</v>
      </c>
      <c r="K11" s="21" t="n">
        <f aca="false">맥본_원가표!X16</f>
        <v>90000</v>
      </c>
      <c r="L11" s="21" t="n">
        <f aca="false">맥본_원가표!Y16</f>
        <v>85000</v>
      </c>
      <c r="M11" s="21" t="n">
        <f aca="false">맥본_원가표!Z16</f>
        <v>80000</v>
      </c>
      <c r="N11" s="21" t="n">
        <f aca="false">맥본_원가표!AA16</f>
        <v>560</v>
      </c>
      <c r="O11" s="19" t="str">
        <f aca="false">맥본_원가표!AC16</f>
        <v>용기별도</v>
      </c>
      <c r="P11" s="21" t="str">
        <f aca="false">맥본_원가표!AD16</f>
        <v>-</v>
      </c>
      <c r="Q11" s="21" t="n">
        <f aca="false">맥본_원가표!AE16</f>
        <v>300</v>
      </c>
      <c r="R11" s="21" t="n">
        <f aca="false">맥본_원가표!AF16</f>
        <v>150</v>
      </c>
      <c r="S11" s="21" t="n">
        <f aca="false">맥본_원가표!AG16</f>
        <v>50</v>
      </c>
      <c r="T11" s="21" t="n">
        <f aca="false">맥본_원가표!AH16</f>
        <v>100</v>
      </c>
      <c r="U11" s="21" t="n">
        <f aca="false">맥본_원가표!AI16</f>
        <v>200</v>
      </c>
    </row>
    <row r="12" customFormat="false" ht="15" hidden="false" customHeight="true" outlineLevel="0" collapsed="false">
      <c r="A12" s="7"/>
      <c r="B12" s="23" t="s">
        <v>30</v>
      </c>
      <c r="C12" s="24" t="s">
        <v>31</v>
      </c>
      <c r="D12" s="14" t="n">
        <f aca="false">맥본_원가표!J17</f>
        <v>5</v>
      </c>
      <c r="E12" s="15" t="n">
        <f aca="false">맥본_원가표!P17</f>
        <v>1000</v>
      </c>
      <c r="F12" s="16" t="n">
        <f aca="false">맥본_원가표!I17</f>
        <v>46863.2</v>
      </c>
      <c r="G12" s="16" t="n">
        <f aca="false">맥본_원가표!O17</f>
        <v>459.72236</v>
      </c>
      <c r="H12" s="16" t="n">
        <f aca="false">맥본_원가표!Q17</f>
        <v>1200</v>
      </c>
      <c r="I12" s="17" t="n">
        <f aca="false">맥본_원가표!R17</f>
        <v>0.616898033333333</v>
      </c>
      <c r="J12" s="16" t="n">
        <f aca="false">맥본_원가표!W17</f>
        <v>240000</v>
      </c>
      <c r="K12" s="16" t="n">
        <f aca="false">맥본_원가표!X17</f>
        <v>216000</v>
      </c>
      <c r="L12" s="16" t="n">
        <f aca="false">맥본_원가표!Y17</f>
        <v>204000</v>
      </c>
      <c r="M12" s="16" t="n">
        <f aca="false">맥본_원가표!Z17</f>
        <v>192000</v>
      </c>
      <c r="N12" s="16" t="n">
        <f aca="false">맥본_원가표!AA17</f>
        <v>960</v>
      </c>
      <c r="O12" s="14" t="str">
        <f aca="false">맥본_원가표!AC17</f>
        <v>용기별도</v>
      </c>
      <c r="P12" s="16" t="n">
        <f aca="false">맥본_원가표!AD17</f>
        <v>550</v>
      </c>
      <c r="Q12" s="16" t="n">
        <f aca="false">맥본_원가표!AE17</f>
        <v>300</v>
      </c>
      <c r="R12" s="16" t="n">
        <f aca="false">맥본_원가표!AF17</f>
        <v>150</v>
      </c>
      <c r="S12" s="16" t="n">
        <f aca="false">맥본_원가표!AG17</f>
        <v>50</v>
      </c>
      <c r="T12" s="16" t="n">
        <f aca="false">맥본_원가표!AH17</f>
        <v>100</v>
      </c>
      <c r="U12" s="16" t="n">
        <f aca="false">맥본_원가표!AI17</f>
        <v>200</v>
      </c>
    </row>
    <row r="13" customFormat="false" ht="15" hidden="false" customHeight="false" outlineLevel="0" collapsed="false">
      <c r="A13" s="7"/>
      <c r="B13" s="7"/>
      <c r="C13" s="24"/>
      <c r="D13" s="14" t="n">
        <f aca="false">맥본_원가표!J18</f>
        <v>10</v>
      </c>
      <c r="E13" s="15" t="n">
        <f aca="false">맥본_원가표!P18</f>
        <v>1000</v>
      </c>
      <c r="F13" s="16" t="n">
        <f aca="false">맥본_원가표!I17</f>
        <v>46863.2</v>
      </c>
      <c r="G13" s="16" t="n">
        <f aca="false">맥본_원가표!O18</f>
        <v>743.24472</v>
      </c>
      <c r="H13" s="16" t="n">
        <f aca="false">맥본_원가표!Q18</f>
        <v>1500</v>
      </c>
      <c r="I13" s="17" t="n">
        <f aca="false">맥본_원가표!R18</f>
        <v>0.50450352</v>
      </c>
      <c r="J13" s="16" t="n">
        <f aca="false">맥본_원가표!W18</f>
        <v>150000</v>
      </c>
      <c r="K13" s="16" t="n">
        <f aca="false">맥본_원가표!X18</f>
        <v>135000</v>
      </c>
      <c r="L13" s="16" t="n">
        <f aca="false">맥본_원가표!Y18</f>
        <v>127500</v>
      </c>
      <c r="M13" s="16" t="n">
        <f aca="false">맥본_원가표!Z18</f>
        <v>120000</v>
      </c>
      <c r="N13" s="16" t="n">
        <f aca="false">맥본_원가표!AA18</f>
        <v>1200</v>
      </c>
      <c r="O13" s="14" t="str">
        <f aca="false">맥본_원가표!AC18</f>
        <v>용기별도</v>
      </c>
      <c r="P13" s="16" t="n">
        <f aca="false">맥본_원가표!AD18</f>
        <v>600</v>
      </c>
      <c r="Q13" s="16" t="n">
        <f aca="false">맥본_원가표!AE18</f>
        <v>300</v>
      </c>
      <c r="R13" s="16" t="n">
        <f aca="false">맥본_원가표!AF18</f>
        <v>150</v>
      </c>
      <c r="S13" s="16" t="n">
        <f aca="false">맥본_원가표!AG18</f>
        <v>50</v>
      </c>
      <c r="T13" s="16" t="n">
        <f aca="false">맥본_원가표!AH18</f>
        <v>100</v>
      </c>
      <c r="U13" s="16" t="n">
        <f aca="false">맥본_원가표!AI18</f>
        <v>200</v>
      </c>
    </row>
    <row r="14" customFormat="false" ht="15" hidden="false" customHeight="true" outlineLevel="0" collapsed="false">
      <c r="A14" s="7"/>
      <c r="B14" s="7"/>
      <c r="C14" s="18" t="s">
        <v>32</v>
      </c>
      <c r="D14" s="19" t="n">
        <f aca="false">맥본_원가표!J19</f>
        <v>5</v>
      </c>
      <c r="E14" s="20" t="n">
        <f aca="false">맥본_원가표!P19</f>
        <v>1000</v>
      </c>
      <c r="F14" s="21" t="n">
        <f aca="false">맥본_원가표!I19</f>
        <v>21800</v>
      </c>
      <c r="G14" s="21" t="n">
        <f aca="false">맥본_원가표!O19</f>
        <v>308.09</v>
      </c>
      <c r="H14" s="21" t="n">
        <f aca="false">맥본_원가표!Q19</f>
        <v>1100</v>
      </c>
      <c r="I14" s="22" t="n">
        <f aca="false">맥본_원가표!R19</f>
        <v>0.719918181818182</v>
      </c>
      <c r="J14" s="21" t="n">
        <f aca="false">맥본_원가표!W19</f>
        <v>220000</v>
      </c>
      <c r="K14" s="21" t="n">
        <f aca="false">맥본_원가표!X19</f>
        <v>198000</v>
      </c>
      <c r="L14" s="21" t="n">
        <f aca="false">맥본_원가표!Y19</f>
        <v>187000</v>
      </c>
      <c r="M14" s="21" t="n">
        <f aca="false">맥본_원가표!Z19</f>
        <v>176000</v>
      </c>
      <c r="N14" s="21" t="n">
        <f aca="false">맥본_원가표!AA19</f>
        <v>880</v>
      </c>
      <c r="O14" s="19" t="str">
        <f aca="false">맥본_원가표!AC19</f>
        <v>용기별도</v>
      </c>
      <c r="P14" s="21" t="n">
        <f aca="false">맥본_원가표!AD19</f>
        <v>550</v>
      </c>
      <c r="Q14" s="21" t="n">
        <f aca="false">맥본_원가표!AE19</f>
        <v>300</v>
      </c>
      <c r="R14" s="21" t="n">
        <f aca="false">맥본_원가표!AF19</f>
        <v>150</v>
      </c>
      <c r="S14" s="21" t="n">
        <f aca="false">맥본_원가표!AG19</f>
        <v>50</v>
      </c>
      <c r="T14" s="21" t="n">
        <f aca="false">맥본_원가표!AH19</f>
        <v>100</v>
      </c>
      <c r="U14" s="21" t="n">
        <f aca="false">맥본_원가표!AI19</f>
        <v>200</v>
      </c>
    </row>
    <row r="15" customFormat="false" ht="15" hidden="false" customHeight="false" outlineLevel="0" collapsed="false">
      <c r="A15" s="7"/>
      <c r="B15" s="7"/>
      <c r="C15" s="7"/>
      <c r="D15" s="19" t="n">
        <f aca="false">맥본_원가표!J20</f>
        <v>10</v>
      </c>
      <c r="E15" s="20" t="n">
        <f aca="false">맥본_원가표!P20</f>
        <v>1000</v>
      </c>
      <c r="F15" s="21" t="n">
        <f aca="false">맥본_원가표!I19</f>
        <v>21800</v>
      </c>
      <c r="G15" s="21" t="n">
        <f aca="false">맥본_원가표!O20</f>
        <v>439.98</v>
      </c>
      <c r="H15" s="21" t="n">
        <f aca="false">맥본_원가표!Q20</f>
        <v>1400</v>
      </c>
      <c r="I15" s="22" t="n">
        <f aca="false">맥본_원가표!R20</f>
        <v>0.685728571428572</v>
      </c>
      <c r="J15" s="21" t="n">
        <f aca="false">맥본_원가표!W20</f>
        <v>140000</v>
      </c>
      <c r="K15" s="21" t="n">
        <f aca="false">맥본_원가표!X20</f>
        <v>126000</v>
      </c>
      <c r="L15" s="21" t="n">
        <f aca="false">맥본_원가표!Y20</f>
        <v>119000</v>
      </c>
      <c r="M15" s="21" t="n">
        <f aca="false">맥본_원가표!Z20</f>
        <v>112000</v>
      </c>
      <c r="N15" s="21" t="n">
        <f aca="false">맥본_원가표!AA20</f>
        <v>1120</v>
      </c>
      <c r="O15" s="19" t="str">
        <f aca="false">맥본_원가표!AC20</f>
        <v>용기별도</v>
      </c>
      <c r="P15" s="21" t="n">
        <f aca="false">맥본_원가표!AD20</f>
        <v>600</v>
      </c>
      <c r="Q15" s="21" t="n">
        <f aca="false">맥본_원가표!AE20</f>
        <v>300</v>
      </c>
      <c r="R15" s="21" t="n">
        <f aca="false">맥본_원가표!AF20</f>
        <v>150</v>
      </c>
      <c r="S15" s="21" t="n">
        <f aca="false">맥본_원가표!AG20</f>
        <v>50</v>
      </c>
      <c r="T15" s="21" t="n">
        <f aca="false">맥본_원가표!AH20</f>
        <v>100</v>
      </c>
      <c r="U15" s="21" t="n">
        <f aca="false">맥본_원가표!AI20</f>
        <v>200</v>
      </c>
    </row>
    <row r="16" customFormat="false" ht="15" hidden="false" customHeight="true" outlineLevel="0" collapsed="false">
      <c r="A16" s="25" t="s">
        <v>33</v>
      </c>
      <c r="B16" s="8" t="s">
        <v>34</v>
      </c>
      <c r="C16" s="9" t="s">
        <v>35</v>
      </c>
      <c r="D16" s="10" t="n">
        <f aca="false">맥본_원가표!J34</f>
        <v>3</v>
      </c>
      <c r="E16" s="11" t="n">
        <f aca="false">맥본_원가표!P34</f>
        <v>500</v>
      </c>
      <c r="F16" s="12" t="n">
        <f aca="false">맥본_원가표!I34</f>
        <v>83160</v>
      </c>
      <c r="G16" s="12" t="n">
        <f aca="false">맥본_원가표!O34</f>
        <v>566.1708</v>
      </c>
      <c r="H16" s="12" t="n">
        <f aca="false">맥본_원가표!Q34</f>
        <v>3500</v>
      </c>
      <c r="I16" s="13" t="n">
        <f aca="false">맥본_원가표!R34</f>
        <v>0.838236914285714</v>
      </c>
      <c r="J16" s="12" t="n">
        <f aca="false">맥본_원가표!W34</f>
        <v>1166666.66666667</v>
      </c>
      <c r="K16" s="12" t="n">
        <f aca="false">맥본_원가표!X34</f>
        <v>1050000</v>
      </c>
      <c r="L16" s="12" t="n">
        <f aca="false">맥본_원가표!Y34</f>
        <v>991666.666666667</v>
      </c>
      <c r="M16" s="12" t="n">
        <f aca="false">맥본_원가표!Z34</f>
        <v>933333.333333334</v>
      </c>
      <c r="N16" s="12" t="n">
        <f aca="false">맥본_원가표!AA34</f>
        <v>2800</v>
      </c>
      <c r="O16" s="10" t="str">
        <f aca="false">맥본_원가표!AC34</f>
        <v>용기포함</v>
      </c>
      <c r="P16" s="12" t="str">
        <f aca="false">맥본_원가표!AD34</f>
        <v>-</v>
      </c>
      <c r="Q16" s="12" t="n">
        <f aca="false">맥본_원가표!AE34</f>
        <v>300</v>
      </c>
      <c r="R16" s="12" t="n">
        <f aca="false">맥본_원가표!AF34</f>
        <v>150</v>
      </c>
      <c r="S16" s="12" t="n">
        <f aca="false">맥본_원가표!AG34</f>
        <v>50</v>
      </c>
      <c r="T16" s="12" t="n">
        <f aca="false">맥본_원가표!AH34</f>
        <v>100</v>
      </c>
      <c r="U16" s="12" t="n">
        <f aca="false">맥본_원가표!AI34</f>
        <v>200</v>
      </c>
    </row>
    <row r="17" customFormat="false" ht="15" hidden="false" customHeight="false" outlineLevel="0" collapsed="false">
      <c r="A17" s="25"/>
      <c r="B17" s="25"/>
      <c r="C17" s="25"/>
      <c r="D17" s="14" t="n">
        <f aca="false">맥본_원가표!J35</f>
        <v>5</v>
      </c>
      <c r="E17" s="15" t="n">
        <f aca="false">맥본_원가표!P35</f>
        <v>500</v>
      </c>
      <c r="F17" s="16" t="n">
        <f aca="false">맥본_원가표!I34</f>
        <v>83160</v>
      </c>
      <c r="G17" s="16" t="n">
        <f aca="false">맥본_원가표!O35</f>
        <v>767.418</v>
      </c>
      <c r="H17" s="16" t="n">
        <f aca="false">맥본_원가표!Q35</f>
        <v>4500</v>
      </c>
      <c r="I17" s="17" t="n">
        <f aca="false">맥본_원가표!R35</f>
        <v>0.829462666666667</v>
      </c>
      <c r="J17" s="16" t="n">
        <f aca="false">맥본_원가표!W35</f>
        <v>900000</v>
      </c>
      <c r="K17" s="16" t="n">
        <f aca="false">맥본_원가표!X35</f>
        <v>810000</v>
      </c>
      <c r="L17" s="16" t="n">
        <f aca="false">맥본_원가표!Y35</f>
        <v>765000</v>
      </c>
      <c r="M17" s="16" t="n">
        <f aca="false">맥본_원가표!Z35</f>
        <v>720000</v>
      </c>
      <c r="N17" s="16" t="n">
        <f aca="false">맥본_원가표!AA35</f>
        <v>3600</v>
      </c>
      <c r="O17" s="14" t="str">
        <f aca="false">맥본_원가표!AC35</f>
        <v>용기포함</v>
      </c>
      <c r="P17" s="16" t="str">
        <f aca="false">맥본_원가표!AD35</f>
        <v>-</v>
      </c>
      <c r="Q17" s="16" t="n">
        <f aca="false">맥본_원가표!AE35</f>
        <v>300</v>
      </c>
      <c r="R17" s="16" t="n">
        <f aca="false">맥본_원가표!AF35</f>
        <v>150</v>
      </c>
      <c r="S17" s="16" t="n">
        <f aca="false">맥본_원가표!AG35</f>
        <v>50</v>
      </c>
      <c r="T17" s="16" t="n">
        <f aca="false">맥본_원가표!AH35</f>
        <v>100</v>
      </c>
      <c r="U17" s="16" t="n">
        <f aca="false">맥본_원가표!AI35</f>
        <v>200</v>
      </c>
    </row>
    <row r="18" customFormat="false" ht="15" hidden="false" customHeight="false" outlineLevel="0" collapsed="false">
      <c r="A18" s="25"/>
      <c r="B18" s="25"/>
      <c r="C18" s="9"/>
      <c r="D18" s="14" t="n">
        <f aca="false">맥본_원가표!J36</f>
        <v>10</v>
      </c>
      <c r="E18" s="15" t="n">
        <f aca="false">맥본_원가표!P36</f>
        <v>500</v>
      </c>
      <c r="F18" s="16" t="n">
        <f aca="false">맥본_원가표!I34</f>
        <v>83160</v>
      </c>
      <c r="G18" s="16" t="n">
        <f aca="false">맥본_원가표!O36</f>
        <v>1270.536</v>
      </c>
      <c r="H18" s="16" t="n">
        <f aca="false">맥본_원가표!Q36</f>
        <v>7000</v>
      </c>
      <c r="I18" s="17" t="n">
        <f aca="false">맥본_원가표!R36</f>
        <v>0.818494857142857</v>
      </c>
      <c r="J18" s="16" t="n">
        <f aca="false">맥본_원가표!W36</f>
        <v>700000</v>
      </c>
      <c r="K18" s="16" t="n">
        <f aca="false">맥본_원가표!X36</f>
        <v>630000</v>
      </c>
      <c r="L18" s="16" t="n">
        <f aca="false">맥본_원가표!Y36</f>
        <v>595000</v>
      </c>
      <c r="M18" s="16" t="n">
        <f aca="false">맥본_원가표!Z36</f>
        <v>560000</v>
      </c>
      <c r="N18" s="16" t="n">
        <f aca="false">맥본_원가표!AA36</f>
        <v>5600</v>
      </c>
      <c r="O18" s="14" t="str">
        <f aca="false">맥본_원가표!AC36</f>
        <v>용기포함</v>
      </c>
      <c r="P18" s="16" t="str">
        <f aca="false">맥본_원가표!AD36</f>
        <v>-</v>
      </c>
      <c r="Q18" s="16" t="n">
        <f aca="false">맥본_원가표!AE36</f>
        <v>300</v>
      </c>
      <c r="R18" s="16" t="n">
        <f aca="false">맥본_원가표!AF36</f>
        <v>150</v>
      </c>
      <c r="S18" s="16" t="n">
        <f aca="false">맥본_원가표!AG36</f>
        <v>50</v>
      </c>
      <c r="T18" s="16" t="n">
        <f aca="false">맥본_원가표!AH36</f>
        <v>100</v>
      </c>
      <c r="U18" s="16" t="n">
        <f aca="false">맥본_원가표!AI36</f>
        <v>200</v>
      </c>
    </row>
    <row r="19" customFormat="false" ht="15" hidden="false" customHeight="true" outlineLevel="0" collapsed="false">
      <c r="A19" s="25"/>
      <c r="B19" s="25"/>
      <c r="C19" s="18" t="s">
        <v>36</v>
      </c>
      <c r="D19" s="19" t="n">
        <f aca="false">맥본_원가표!J37</f>
        <v>3</v>
      </c>
      <c r="E19" s="20" t="n">
        <f aca="false">맥본_원가표!P37</f>
        <v>500</v>
      </c>
      <c r="F19" s="21" t="n">
        <f aca="false">맥본_원가표!I37</f>
        <v>116200</v>
      </c>
      <c r="G19" s="21" t="n">
        <f aca="false">맥본_원가표!O37</f>
        <v>686.106</v>
      </c>
      <c r="H19" s="21" t="n">
        <f aca="false">맥본_원가표!Q37</f>
        <v>3500</v>
      </c>
      <c r="I19" s="22" t="n">
        <f aca="false">맥본_원가표!R37</f>
        <v>0.803969714285714</v>
      </c>
      <c r="J19" s="21" t="n">
        <f aca="false">맥본_원가표!W37</f>
        <v>1166666.66666667</v>
      </c>
      <c r="K19" s="21" t="n">
        <f aca="false">맥본_원가표!X37</f>
        <v>1050000</v>
      </c>
      <c r="L19" s="21" t="n">
        <f aca="false">맥본_원가표!Y37</f>
        <v>991666.666666667</v>
      </c>
      <c r="M19" s="21" t="n">
        <f aca="false">맥본_원가표!Z37</f>
        <v>933333.333333334</v>
      </c>
      <c r="N19" s="21" t="n">
        <f aca="false">맥본_원가표!AA37</f>
        <v>2800</v>
      </c>
      <c r="O19" s="19" t="str">
        <f aca="false">맥본_원가표!AC37</f>
        <v>용기포함</v>
      </c>
      <c r="P19" s="21" t="str">
        <f aca="false">맥본_원가표!AD37</f>
        <v>-</v>
      </c>
      <c r="Q19" s="21" t="n">
        <f aca="false">맥본_원가표!AE37</f>
        <v>300</v>
      </c>
      <c r="R19" s="21" t="n">
        <f aca="false">맥본_원가표!AF37</f>
        <v>150</v>
      </c>
      <c r="S19" s="21" t="n">
        <f aca="false">맥본_원가표!AG37</f>
        <v>50</v>
      </c>
      <c r="T19" s="21" t="n">
        <f aca="false">맥본_원가표!AH37</f>
        <v>100</v>
      </c>
      <c r="U19" s="21" t="n">
        <f aca="false">맥본_원가표!AI37</f>
        <v>200</v>
      </c>
    </row>
    <row r="20" customFormat="false" ht="15" hidden="false" customHeight="false" outlineLevel="0" collapsed="false">
      <c r="A20" s="25"/>
      <c r="B20" s="25"/>
      <c r="C20" s="25"/>
      <c r="D20" s="19" t="n">
        <f aca="false">맥본_원가표!J38</f>
        <v>5</v>
      </c>
      <c r="E20" s="20" t="n">
        <f aca="false">맥본_원가표!P38</f>
        <v>500</v>
      </c>
      <c r="F20" s="21" t="n">
        <f aca="false">맥본_원가표!I37</f>
        <v>116200</v>
      </c>
      <c r="G20" s="21" t="n">
        <f aca="false">맥본_원가표!O38</f>
        <v>967.31</v>
      </c>
      <c r="H20" s="21" t="n">
        <f aca="false">맥본_원가표!Q38</f>
        <v>4500</v>
      </c>
      <c r="I20" s="22" t="n">
        <f aca="false">맥본_원가표!R38</f>
        <v>0.785042222222222</v>
      </c>
      <c r="J20" s="21" t="n">
        <f aca="false">맥본_원가표!W38</f>
        <v>900000</v>
      </c>
      <c r="K20" s="21" t="n">
        <f aca="false">맥본_원가표!X38</f>
        <v>810000</v>
      </c>
      <c r="L20" s="21" t="n">
        <f aca="false">맥본_원가표!Y38</f>
        <v>765000</v>
      </c>
      <c r="M20" s="21" t="n">
        <f aca="false">맥본_원가표!Z38</f>
        <v>720000</v>
      </c>
      <c r="N20" s="21" t="n">
        <f aca="false">맥본_원가표!AA38</f>
        <v>3600</v>
      </c>
      <c r="O20" s="19" t="str">
        <f aca="false">맥본_원가표!AC38</f>
        <v>용기포함</v>
      </c>
      <c r="P20" s="21" t="str">
        <f aca="false">맥본_원가표!AD38</f>
        <v>-</v>
      </c>
      <c r="Q20" s="21" t="n">
        <f aca="false">맥본_원가표!AE38</f>
        <v>300</v>
      </c>
      <c r="R20" s="21" t="n">
        <f aca="false">맥본_원가표!AF38</f>
        <v>150</v>
      </c>
      <c r="S20" s="21" t="n">
        <f aca="false">맥본_원가표!AG38</f>
        <v>50</v>
      </c>
      <c r="T20" s="21" t="n">
        <f aca="false">맥본_원가표!AH38</f>
        <v>100</v>
      </c>
      <c r="U20" s="21" t="n">
        <f aca="false">맥본_원가표!AI38</f>
        <v>200</v>
      </c>
    </row>
    <row r="21" customFormat="false" ht="15" hidden="false" customHeight="false" outlineLevel="0" collapsed="false">
      <c r="A21" s="25"/>
      <c r="B21" s="25"/>
      <c r="C21" s="18"/>
      <c r="D21" s="19" t="n">
        <f aca="false">맥본_원가표!J39</f>
        <v>10</v>
      </c>
      <c r="E21" s="20" t="n">
        <f aca="false">맥본_원가표!P39</f>
        <v>500</v>
      </c>
      <c r="F21" s="21" t="n">
        <f aca="false">맥본_원가표!I37</f>
        <v>116200</v>
      </c>
      <c r="G21" s="21" t="n">
        <f aca="false">맥본_원가표!O39</f>
        <v>1670.32</v>
      </c>
      <c r="H21" s="21" t="n">
        <f aca="false">맥본_원가표!Q39</f>
        <v>7000</v>
      </c>
      <c r="I21" s="22" t="n">
        <f aca="false">맥본_원가표!R39</f>
        <v>0.761382857142857</v>
      </c>
      <c r="J21" s="21" t="n">
        <f aca="false">맥본_원가표!W39</f>
        <v>700000</v>
      </c>
      <c r="K21" s="21" t="n">
        <f aca="false">맥본_원가표!X39</f>
        <v>630000</v>
      </c>
      <c r="L21" s="21" t="n">
        <f aca="false">맥본_원가표!Y39</f>
        <v>595000</v>
      </c>
      <c r="M21" s="21" t="n">
        <f aca="false">맥본_원가표!Z39</f>
        <v>560000</v>
      </c>
      <c r="N21" s="21" t="n">
        <f aca="false">맥본_원가표!AA39</f>
        <v>5600</v>
      </c>
      <c r="O21" s="19" t="str">
        <f aca="false">맥본_원가표!AC39</f>
        <v>용기포함</v>
      </c>
      <c r="P21" s="21" t="str">
        <f aca="false">맥본_원가표!AD39</f>
        <v>-</v>
      </c>
      <c r="Q21" s="21" t="n">
        <f aca="false">맥본_원가표!AE39</f>
        <v>300</v>
      </c>
      <c r="R21" s="21" t="n">
        <f aca="false">맥본_원가표!AF39</f>
        <v>150</v>
      </c>
      <c r="S21" s="21" t="n">
        <f aca="false">맥본_원가표!AG39</f>
        <v>50</v>
      </c>
      <c r="T21" s="21" t="n">
        <f aca="false">맥본_원가표!AH39</f>
        <v>100</v>
      </c>
      <c r="U21" s="21" t="n">
        <f aca="false">맥본_원가표!AI39</f>
        <v>200</v>
      </c>
    </row>
    <row r="22" customFormat="false" ht="15" hidden="false" customHeight="true" outlineLevel="0" collapsed="false">
      <c r="A22" s="25"/>
      <c r="B22" s="25"/>
      <c r="C22" s="24" t="s">
        <v>37</v>
      </c>
      <c r="D22" s="14" t="n">
        <f aca="false">맥본_원가표!J40</f>
        <v>3</v>
      </c>
      <c r="E22" s="15" t="n">
        <f aca="false">맥본_원가표!P40</f>
        <v>500</v>
      </c>
      <c r="F22" s="16" t="n">
        <f aca="false">맥본_원가표!I40</f>
        <v>245303.8</v>
      </c>
      <c r="G22" s="16" t="n">
        <f aca="false">맥본_원가표!O40</f>
        <v>1154.752794</v>
      </c>
      <c r="H22" s="16" t="n">
        <f aca="false">맥본_원가표!Q40</f>
        <v>4500</v>
      </c>
      <c r="I22" s="17" t="n">
        <f aca="false">맥본_원가표!R40</f>
        <v>0.743388268</v>
      </c>
      <c r="J22" s="16" t="n">
        <f aca="false">맥본_원가표!W40</f>
        <v>1500000</v>
      </c>
      <c r="K22" s="16" t="n">
        <f aca="false">맥본_원가표!X40</f>
        <v>1350000</v>
      </c>
      <c r="L22" s="16" t="n">
        <f aca="false">맥본_원가표!Y40</f>
        <v>1275000</v>
      </c>
      <c r="M22" s="16" t="n">
        <f aca="false">맥본_원가표!Z40</f>
        <v>1200000</v>
      </c>
      <c r="N22" s="16" t="n">
        <f aca="false">맥본_원가표!AA40</f>
        <v>3600</v>
      </c>
      <c r="O22" s="14" t="str">
        <f aca="false">맥본_원가표!AC40</f>
        <v>용기포함</v>
      </c>
      <c r="P22" s="16" t="str">
        <f aca="false">맥본_원가표!AD40</f>
        <v>-</v>
      </c>
      <c r="Q22" s="16" t="n">
        <f aca="false">맥본_원가표!AE40</f>
        <v>300</v>
      </c>
      <c r="R22" s="16" t="n">
        <f aca="false">맥본_원가표!AF40</f>
        <v>150</v>
      </c>
      <c r="S22" s="16" t="n">
        <f aca="false">맥본_원가표!AG40</f>
        <v>50</v>
      </c>
      <c r="T22" s="16" t="n">
        <f aca="false">맥본_원가표!AH40</f>
        <v>100</v>
      </c>
      <c r="U22" s="16" t="n">
        <f aca="false">맥본_원가표!AI40</f>
        <v>200</v>
      </c>
    </row>
    <row r="23" customFormat="false" ht="15" hidden="false" customHeight="false" outlineLevel="0" collapsed="false">
      <c r="A23" s="25"/>
      <c r="B23" s="25"/>
      <c r="C23" s="25"/>
      <c r="D23" s="14" t="n">
        <f aca="false">맥본_원가표!J41</f>
        <v>5</v>
      </c>
      <c r="E23" s="15" t="n">
        <f aca="false">맥본_원가표!P41</f>
        <v>500</v>
      </c>
      <c r="F23" s="16" t="n">
        <f aca="false">맥본_원가표!I40</f>
        <v>245303.8</v>
      </c>
      <c r="G23" s="16" t="n">
        <f aca="false">맥본_원가표!O41</f>
        <v>1748.38799</v>
      </c>
      <c r="H23" s="16" t="n">
        <f aca="false">맥본_원가표!Q41</f>
        <v>5500</v>
      </c>
      <c r="I23" s="17" t="n">
        <f aca="false">맥본_원가표!R41</f>
        <v>0.682111274545455</v>
      </c>
      <c r="J23" s="16" t="n">
        <f aca="false">맥본_원가표!W41</f>
        <v>1100000</v>
      </c>
      <c r="K23" s="16" t="n">
        <f aca="false">맥본_원가표!X41</f>
        <v>990000</v>
      </c>
      <c r="L23" s="16" t="n">
        <f aca="false">맥본_원가표!Y41</f>
        <v>935000</v>
      </c>
      <c r="M23" s="16" t="n">
        <f aca="false">맥본_원가표!Z41</f>
        <v>880000</v>
      </c>
      <c r="N23" s="16" t="n">
        <f aca="false">맥본_원가표!AA41</f>
        <v>4400</v>
      </c>
      <c r="O23" s="14" t="str">
        <f aca="false">맥본_원가표!AC41</f>
        <v>용기포함</v>
      </c>
      <c r="P23" s="16" t="str">
        <f aca="false">맥본_원가표!AD41</f>
        <v>-</v>
      </c>
      <c r="Q23" s="16" t="n">
        <f aca="false">맥본_원가표!AE41</f>
        <v>300</v>
      </c>
      <c r="R23" s="16" t="n">
        <f aca="false">맥본_원가표!AF41</f>
        <v>150</v>
      </c>
      <c r="S23" s="16" t="n">
        <f aca="false">맥본_원가표!AG41</f>
        <v>50</v>
      </c>
      <c r="T23" s="16" t="n">
        <f aca="false">맥본_원가표!AH41</f>
        <v>100</v>
      </c>
      <c r="U23" s="16" t="n">
        <f aca="false">맥본_원가표!AI41</f>
        <v>200</v>
      </c>
    </row>
    <row r="24" customFormat="false" ht="15" hidden="false" customHeight="false" outlineLevel="0" collapsed="false">
      <c r="A24" s="25"/>
      <c r="B24" s="25"/>
      <c r="C24" s="24"/>
      <c r="D24" s="14" t="n">
        <f aca="false">맥본_원가표!J42</f>
        <v>10</v>
      </c>
      <c r="E24" s="15" t="n">
        <f aca="false">맥본_원가표!P42</f>
        <v>500</v>
      </c>
      <c r="F24" s="16" t="n">
        <f aca="false">맥본_원가표!I40</f>
        <v>245303.8</v>
      </c>
      <c r="G24" s="16" t="n">
        <f aca="false">맥본_원가표!O42</f>
        <v>3232.47598</v>
      </c>
      <c r="H24" s="16" t="n">
        <f aca="false">맥본_원가표!Q42</f>
        <v>8000</v>
      </c>
      <c r="I24" s="17" t="n">
        <f aca="false">맥본_원가표!R42</f>
        <v>0.5959405025</v>
      </c>
      <c r="J24" s="16" t="n">
        <f aca="false">맥본_원가표!W42</f>
        <v>800000</v>
      </c>
      <c r="K24" s="16" t="n">
        <f aca="false">맥본_원가표!X42</f>
        <v>720000</v>
      </c>
      <c r="L24" s="16" t="n">
        <f aca="false">맥본_원가표!Y42</f>
        <v>680000</v>
      </c>
      <c r="M24" s="16" t="n">
        <f aca="false">맥본_원가표!Z42</f>
        <v>640000</v>
      </c>
      <c r="N24" s="16" t="n">
        <f aca="false">맥본_원가표!AA42</f>
        <v>6400</v>
      </c>
      <c r="O24" s="14" t="str">
        <f aca="false">맥본_원가표!AC42</f>
        <v>용기포함</v>
      </c>
      <c r="P24" s="16" t="str">
        <f aca="false">맥본_원가표!AD42</f>
        <v>-</v>
      </c>
      <c r="Q24" s="16" t="n">
        <f aca="false">맥본_원가표!AE42</f>
        <v>300</v>
      </c>
      <c r="R24" s="16" t="n">
        <f aca="false">맥본_원가표!AF42</f>
        <v>150</v>
      </c>
      <c r="S24" s="16" t="n">
        <f aca="false">맥본_원가표!AG42</f>
        <v>50</v>
      </c>
      <c r="T24" s="16" t="n">
        <f aca="false">맥본_원가표!AH42</f>
        <v>100</v>
      </c>
      <c r="U24" s="16" t="n">
        <f aca="false">맥본_원가표!AI42</f>
        <v>200</v>
      </c>
    </row>
    <row r="25" customFormat="false" ht="15" hidden="false" customHeight="true" outlineLevel="0" collapsed="false">
      <c r="A25" s="25"/>
      <c r="B25" s="25"/>
      <c r="C25" s="18" t="s">
        <v>38</v>
      </c>
      <c r="D25" s="19" t="n">
        <f aca="false">맥본_원가표!J43</f>
        <v>3</v>
      </c>
      <c r="E25" s="20" t="n">
        <f aca="false">맥본_원가표!P43</f>
        <v>500</v>
      </c>
      <c r="F25" s="21" t="n">
        <f aca="false">맥본_원가표!I43</f>
        <v>70416</v>
      </c>
      <c r="G25" s="21" t="n">
        <f aca="false">맥본_원가표!O43</f>
        <v>519.91008</v>
      </c>
      <c r="H25" s="21" t="n">
        <f aca="false">맥본_원가표!Q43</f>
        <v>1600</v>
      </c>
      <c r="I25" s="22" t="n">
        <f aca="false">맥본_원가표!R43</f>
        <v>0.6750562</v>
      </c>
      <c r="J25" s="21" t="n">
        <f aca="false">맥본_원가표!W43</f>
        <v>533333.333333333</v>
      </c>
      <c r="K25" s="21" t="n">
        <f aca="false">맥본_원가표!X43</f>
        <v>480000</v>
      </c>
      <c r="L25" s="21" t="n">
        <f aca="false">맥본_원가표!Y43</f>
        <v>453333.333333333</v>
      </c>
      <c r="M25" s="21" t="n">
        <f aca="false">맥본_원가표!Z43</f>
        <v>426666.666666667</v>
      </c>
      <c r="N25" s="21" t="n">
        <f aca="false">맥본_원가표!AA43</f>
        <v>1280</v>
      </c>
      <c r="O25" s="19" t="str">
        <f aca="false">맥본_원가표!AC43</f>
        <v>용기포함</v>
      </c>
      <c r="P25" s="21" t="str">
        <f aca="false">맥본_원가표!AD43</f>
        <v>-</v>
      </c>
      <c r="Q25" s="21" t="n">
        <f aca="false">맥본_원가표!AE43</f>
        <v>300</v>
      </c>
      <c r="R25" s="21" t="n">
        <f aca="false">맥본_원가표!AF43</f>
        <v>150</v>
      </c>
      <c r="S25" s="21" t="n">
        <f aca="false">맥본_원가표!AG43</f>
        <v>50</v>
      </c>
      <c r="T25" s="21" t="n">
        <f aca="false">맥본_원가표!AH43</f>
        <v>100</v>
      </c>
      <c r="U25" s="21" t="n">
        <f aca="false">맥본_원가표!AI43</f>
        <v>200</v>
      </c>
    </row>
    <row r="26" customFormat="false" ht="15" hidden="false" customHeight="false" outlineLevel="0" collapsed="false">
      <c r="A26" s="25"/>
      <c r="B26" s="25"/>
      <c r="C26" s="25"/>
      <c r="D26" s="19" t="n">
        <f aca="false">맥본_원가표!J44</f>
        <v>5</v>
      </c>
      <c r="E26" s="20" t="n">
        <f aca="false">맥본_원가표!P44</f>
        <v>500</v>
      </c>
      <c r="F26" s="21" t="n">
        <f aca="false">맥본_원가표!I43</f>
        <v>70416</v>
      </c>
      <c r="G26" s="21" t="n">
        <f aca="false">맥본_원가표!O44</f>
        <v>690.3168</v>
      </c>
      <c r="H26" s="21" t="n">
        <f aca="false">맥본_원가표!Q44</f>
        <v>2000</v>
      </c>
      <c r="I26" s="22" t="n">
        <f aca="false">맥본_원가표!R44</f>
        <v>0.6548416</v>
      </c>
      <c r="J26" s="21" t="n">
        <f aca="false">맥본_원가표!W44</f>
        <v>400000</v>
      </c>
      <c r="K26" s="21" t="n">
        <f aca="false">맥본_원가표!X44</f>
        <v>360000</v>
      </c>
      <c r="L26" s="21" t="n">
        <f aca="false">맥본_원가표!Y44</f>
        <v>340000</v>
      </c>
      <c r="M26" s="21" t="n">
        <f aca="false">맥본_원가표!Z44</f>
        <v>320000</v>
      </c>
      <c r="N26" s="21" t="n">
        <f aca="false">맥본_원가표!AA44</f>
        <v>1600</v>
      </c>
      <c r="O26" s="19" t="str">
        <f aca="false">맥본_원가표!AC44</f>
        <v>용기포함</v>
      </c>
      <c r="P26" s="21" t="str">
        <f aca="false">맥본_원가표!AD44</f>
        <v>-</v>
      </c>
      <c r="Q26" s="21" t="n">
        <f aca="false">맥본_원가표!AE44</f>
        <v>300</v>
      </c>
      <c r="R26" s="21" t="n">
        <f aca="false">맥본_원가표!AF44</f>
        <v>150</v>
      </c>
      <c r="S26" s="21" t="n">
        <f aca="false">맥본_원가표!AG44</f>
        <v>50</v>
      </c>
      <c r="T26" s="21" t="n">
        <f aca="false">맥본_원가표!AH44</f>
        <v>100</v>
      </c>
      <c r="U26" s="21" t="n">
        <f aca="false">맥본_원가표!AI44</f>
        <v>200</v>
      </c>
    </row>
    <row r="27" customFormat="false" ht="15" hidden="false" customHeight="false" outlineLevel="0" collapsed="false">
      <c r="A27" s="25"/>
      <c r="B27" s="25"/>
      <c r="C27" s="18"/>
      <c r="D27" s="19" t="n">
        <f aca="false">맥본_원가표!J45</f>
        <v>10</v>
      </c>
      <c r="E27" s="20" t="n">
        <f aca="false">맥본_원가표!P45</f>
        <v>500</v>
      </c>
      <c r="F27" s="21" t="n">
        <f aca="false">맥본_원가표!I43</f>
        <v>70416</v>
      </c>
      <c r="G27" s="21" t="n">
        <f aca="false">맥본_원가표!O45</f>
        <v>1116.3336</v>
      </c>
      <c r="H27" s="21" t="n">
        <f aca="false">맥본_원가표!Q45</f>
        <v>3000</v>
      </c>
      <c r="I27" s="22" t="n">
        <f aca="false">맥본_원가표!R45</f>
        <v>0.6278888</v>
      </c>
      <c r="J27" s="21" t="n">
        <f aca="false">맥본_원가표!W45</f>
        <v>300000</v>
      </c>
      <c r="K27" s="21" t="n">
        <f aca="false">맥본_원가표!X45</f>
        <v>270000</v>
      </c>
      <c r="L27" s="21" t="n">
        <f aca="false">맥본_원가표!Y45</f>
        <v>255000</v>
      </c>
      <c r="M27" s="21" t="n">
        <f aca="false">맥본_원가표!Z45</f>
        <v>240000</v>
      </c>
      <c r="N27" s="21" t="n">
        <f aca="false">맥본_원가표!AA45</f>
        <v>2400</v>
      </c>
      <c r="O27" s="19" t="str">
        <f aca="false">맥본_원가표!AC45</f>
        <v>용기포함</v>
      </c>
      <c r="P27" s="21" t="str">
        <f aca="false">맥본_원가표!AD45</f>
        <v>-</v>
      </c>
      <c r="Q27" s="21" t="n">
        <f aca="false">맥본_원가표!AE45</f>
        <v>300</v>
      </c>
      <c r="R27" s="21" t="n">
        <f aca="false">맥본_원가표!AF45</f>
        <v>150</v>
      </c>
      <c r="S27" s="21" t="n">
        <f aca="false">맥본_원가표!AG45</f>
        <v>50</v>
      </c>
      <c r="T27" s="21" t="n">
        <f aca="false">맥본_원가표!AH45</f>
        <v>100</v>
      </c>
      <c r="U27" s="21" t="n">
        <f aca="false">맥본_원가표!AI45</f>
        <v>200</v>
      </c>
    </row>
    <row r="28" customFormat="false" ht="15" hidden="false" customHeight="true" outlineLevel="0" collapsed="false">
      <c r="A28" s="25"/>
      <c r="B28" s="25"/>
      <c r="C28" s="24" t="s">
        <v>39</v>
      </c>
      <c r="D28" s="14" t="n">
        <f aca="false">맥본_원가표!J46</f>
        <v>3</v>
      </c>
      <c r="E28" s="15" t="n">
        <f aca="false">맥본_원가표!P46</f>
        <v>500</v>
      </c>
      <c r="F28" s="16" t="n">
        <f aca="false">맥본_원가표!I46</f>
        <v>86346</v>
      </c>
      <c r="G28" s="16" t="n">
        <f aca="false">맥본_원가표!O46</f>
        <v>577.73598</v>
      </c>
      <c r="H28" s="16" t="n">
        <f aca="false">맥본_원가표!Q46</f>
        <v>1400</v>
      </c>
      <c r="I28" s="17" t="n">
        <f aca="false">맥본_원가표!R46</f>
        <v>0.587331442857143</v>
      </c>
      <c r="J28" s="16" t="n">
        <f aca="false">맥본_원가표!W46</f>
        <v>466666.666666667</v>
      </c>
      <c r="K28" s="16" t="n">
        <f aca="false">맥본_원가표!X46</f>
        <v>420000</v>
      </c>
      <c r="L28" s="16" t="n">
        <f aca="false">맥본_원가표!Y46</f>
        <v>396666.666666667</v>
      </c>
      <c r="M28" s="16" t="n">
        <f aca="false">맥본_원가표!Z46</f>
        <v>373333.333333333</v>
      </c>
      <c r="N28" s="16" t="n">
        <f aca="false">맥본_원가표!AA46</f>
        <v>1120</v>
      </c>
      <c r="O28" s="14" t="str">
        <f aca="false">맥본_원가표!AC46</f>
        <v>용기포함</v>
      </c>
      <c r="P28" s="16" t="str">
        <f aca="false">맥본_원가표!AD46</f>
        <v>-</v>
      </c>
      <c r="Q28" s="16" t="n">
        <f aca="false">맥본_원가표!AE46</f>
        <v>300</v>
      </c>
      <c r="R28" s="16" t="n">
        <f aca="false">맥본_원가표!AF46</f>
        <v>150</v>
      </c>
      <c r="S28" s="16" t="n">
        <f aca="false">맥본_원가표!AG46</f>
        <v>50</v>
      </c>
      <c r="T28" s="16" t="n">
        <f aca="false">맥본_원가표!AH46</f>
        <v>100</v>
      </c>
      <c r="U28" s="16" t="n">
        <f aca="false">맥본_원가표!AI46</f>
        <v>200</v>
      </c>
    </row>
    <row r="29" customFormat="false" ht="15" hidden="false" customHeight="false" outlineLevel="0" collapsed="false">
      <c r="A29" s="25"/>
      <c r="B29" s="25"/>
      <c r="C29" s="25"/>
      <c r="D29" s="14" t="n">
        <f aca="false">맥본_원가표!J47</f>
        <v>5</v>
      </c>
      <c r="E29" s="15" t="n">
        <f aca="false">맥본_원가표!P47</f>
        <v>500</v>
      </c>
      <c r="F29" s="16" t="n">
        <f aca="false">맥본_원가표!I46</f>
        <v>86346</v>
      </c>
      <c r="G29" s="16" t="n">
        <f aca="false">맥본_원가표!O47</f>
        <v>786.6933</v>
      </c>
      <c r="H29" s="16" t="n">
        <f aca="false">맥본_원가표!Q47</f>
        <v>1800</v>
      </c>
      <c r="I29" s="17" t="n">
        <f aca="false">맥본_원가표!R47</f>
        <v>0.562948166666667</v>
      </c>
      <c r="J29" s="16" t="n">
        <f aca="false">맥본_원가표!W47</f>
        <v>360000</v>
      </c>
      <c r="K29" s="16" t="n">
        <f aca="false">맥본_원가표!X47</f>
        <v>324000</v>
      </c>
      <c r="L29" s="16" t="n">
        <f aca="false">맥본_원가표!Y47</f>
        <v>306000</v>
      </c>
      <c r="M29" s="16" t="n">
        <f aca="false">맥본_원가표!Z47</f>
        <v>288000</v>
      </c>
      <c r="N29" s="16" t="n">
        <f aca="false">맥본_원가표!AA47</f>
        <v>1440</v>
      </c>
      <c r="O29" s="14" t="str">
        <f aca="false">맥본_원가표!AC47</f>
        <v>용기포함</v>
      </c>
      <c r="P29" s="16" t="str">
        <f aca="false">맥본_원가표!AD47</f>
        <v>-</v>
      </c>
      <c r="Q29" s="16" t="n">
        <f aca="false">맥본_원가표!AE47</f>
        <v>300</v>
      </c>
      <c r="R29" s="16" t="n">
        <f aca="false">맥본_원가표!AF47</f>
        <v>150</v>
      </c>
      <c r="S29" s="16" t="n">
        <f aca="false">맥본_원가표!AG47</f>
        <v>50</v>
      </c>
      <c r="T29" s="16" t="n">
        <f aca="false">맥본_원가표!AH47</f>
        <v>100</v>
      </c>
      <c r="U29" s="16" t="n">
        <f aca="false">맥본_원가표!AI47</f>
        <v>200</v>
      </c>
    </row>
    <row r="30" customFormat="false" ht="15" hidden="false" customHeight="false" outlineLevel="0" collapsed="false">
      <c r="A30" s="25"/>
      <c r="B30" s="25"/>
      <c r="C30" s="24"/>
      <c r="D30" s="14" t="n">
        <f aca="false">맥본_원가표!J48</f>
        <v>10</v>
      </c>
      <c r="E30" s="15" t="n">
        <f aca="false">맥본_원가표!P48</f>
        <v>500</v>
      </c>
      <c r="F30" s="16" t="n">
        <f aca="false">맥본_원가표!I46</f>
        <v>86346</v>
      </c>
      <c r="G30" s="16" t="n">
        <f aca="false">맥본_원가표!O48</f>
        <v>1309.0866</v>
      </c>
      <c r="H30" s="16" t="n">
        <f aca="false">맥본_원가표!Q48</f>
        <v>2800</v>
      </c>
      <c r="I30" s="17" t="n">
        <f aca="false">맥본_원가표!R48</f>
        <v>0.532469071428571</v>
      </c>
      <c r="J30" s="16" t="n">
        <f aca="false">맥본_원가표!W48</f>
        <v>280000</v>
      </c>
      <c r="K30" s="16" t="n">
        <f aca="false">맥본_원가표!X48</f>
        <v>252000</v>
      </c>
      <c r="L30" s="16" t="n">
        <f aca="false">맥본_원가표!Y48</f>
        <v>238000</v>
      </c>
      <c r="M30" s="16" t="n">
        <f aca="false">맥본_원가표!Z48</f>
        <v>224000</v>
      </c>
      <c r="N30" s="16" t="n">
        <f aca="false">맥본_원가표!AA48</f>
        <v>2240</v>
      </c>
      <c r="O30" s="14" t="str">
        <f aca="false">맥본_원가표!AC48</f>
        <v>용기포함</v>
      </c>
      <c r="P30" s="16" t="str">
        <f aca="false">맥본_원가표!AD48</f>
        <v>-</v>
      </c>
      <c r="Q30" s="16" t="n">
        <f aca="false">맥본_원가표!AE48</f>
        <v>300</v>
      </c>
      <c r="R30" s="16" t="n">
        <f aca="false">맥본_원가표!AF48</f>
        <v>150</v>
      </c>
      <c r="S30" s="16" t="n">
        <f aca="false">맥본_원가표!AG48</f>
        <v>50</v>
      </c>
      <c r="T30" s="16" t="n">
        <f aca="false">맥본_원가표!AH48</f>
        <v>100</v>
      </c>
      <c r="U30" s="16" t="n">
        <f aca="false">맥본_원가표!AI48</f>
        <v>200</v>
      </c>
    </row>
    <row r="31" customFormat="false" ht="15" hidden="false" customHeight="true" outlineLevel="0" collapsed="false">
      <c r="A31" s="25"/>
      <c r="B31" s="25"/>
      <c r="C31" s="18" t="s">
        <v>40</v>
      </c>
      <c r="D31" s="19" t="n">
        <f aca="false">맥본_원가표!J49</f>
        <v>3</v>
      </c>
      <c r="E31" s="20" t="n">
        <f aca="false">맥본_원가표!P49</f>
        <v>500</v>
      </c>
      <c r="F31" s="21" t="n">
        <f aca="false">맥본_원가표!I49</f>
        <v>61920</v>
      </c>
      <c r="G31" s="21" t="n">
        <f aca="false">맥본_원가표!O49</f>
        <v>489.0696</v>
      </c>
      <c r="H31" s="21" t="n">
        <f aca="false">맥본_원가표!Q49</f>
        <v>1200</v>
      </c>
      <c r="I31" s="22" t="n">
        <f aca="false">맥본_원가표!R49</f>
        <v>0.592442</v>
      </c>
      <c r="J31" s="21" t="n">
        <f aca="false">맥본_원가표!W49</f>
        <v>400000</v>
      </c>
      <c r="K31" s="21" t="n">
        <f aca="false">맥본_원가표!X49</f>
        <v>360000</v>
      </c>
      <c r="L31" s="21" t="n">
        <f aca="false">맥본_원가표!Y49</f>
        <v>340000</v>
      </c>
      <c r="M31" s="21" t="n">
        <f aca="false">맥본_원가표!Z49</f>
        <v>320000</v>
      </c>
      <c r="N31" s="21" t="n">
        <f aca="false">맥본_원가표!AA49</f>
        <v>960</v>
      </c>
      <c r="O31" s="19" t="str">
        <f aca="false">맥본_원가표!AC49</f>
        <v>용기포함</v>
      </c>
      <c r="P31" s="21" t="str">
        <f aca="false">맥본_원가표!AD49</f>
        <v>-</v>
      </c>
      <c r="Q31" s="21" t="n">
        <f aca="false">맥본_원가표!AE49</f>
        <v>300</v>
      </c>
      <c r="R31" s="21" t="n">
        <f aca="false">맥본_원가표!AF49</f>
        <v>150</v>
      </c>
      <c r="S31" s="21" t="n">
        <f aca="false">맥본_원가표!AG49</f>
        <v>50</v>
      </c>
      <c r="T31" s="21" t="n">
        <f aca="false">맥본_원가표!AH49</f>
        <v>100</v>
      </c>
      <c r="U31" s="21" t="n">
        <f aca="false">맥본_원가표!AI49</f>
        <v>200</v>
      </c>
    </row>
    <row r="32" customFormat="false" ht="15" hidden="false" customHeight="false" outlineLevel="0" collapsed="false">
      <c r="A32" s="25"/>
      <c r="B32" s="25"/>
      <c r="C32" s="25"/>
      <c r="D32" s="19" t="n">
        <f aca="false">맥본_원가표!J50</f>
        <v>5</v>
      </c>
      <c r="E32" s="20" t="n">
        <f aca="false">맥본_원가표!P50</f>
        <v>500</v>
      </c>
      <c r="F32" s="21" t="n">
        <f aca="false">맥본_원가표!I49</f>
        <v>61920</v>
      </c>
      <c r="G32" s="21" t="n">
        <f aca="false">맥본_원가표!O50</f>
        <v>638.916</v>
      </c>
      <c r="H32" s="21" t="n">
        <f aca="false">맥본_원가표!Q50</f>
        <v>1600</v>
      </c>
      <c r="I32" s="22" t="n">
        <f aca="false">맥본_원가표!R50</f>
        <v>0.6006775</v>
      </c>
      <c r="J32" s="21" t="n">
        <f aca="false">맥본_원가표!W50</f>
        <v>320000</v>
      </c>
      <c r="K32" s="21" t="n">
        <f aca="false">맥본_원가표!X50</f>
        <v>288000</v>
      </c>
      <c r="L32" s="21" t="n">
        <f aca="false">맥본_원가표!Y50</f>
        <v>272000</v>
      </c>
      <c r="M32" s="21" t="n">
        <f aca="false">맥본_원가표!Z50</f>
        <v>256000</v>
      </c>
      <c r="N32" s="21" t="n">
        <f aca="false">맥본_원가표!AA50</f>
        <v>1280</v>
      </c>
      <c r="O32" s="19" t="str">
        <f aca="false">맥본_원가표!AC50</f>
        <v>용기포함</v>
      </c>
      <c r="P32" s="21" t="str">
        <f aca="false">맥본_원가표!AD50</f>
        <v>-</v>
      </c>
      <c r="Q32" s="21" t="n">
        <f aca="false">맥본_원가표!AE50</f>
        <v>300</v>
      </c>
      <c r="R32" s="21" t="n">
        <f aca="false">맥본_원가표!AF50</f>
        <v>150</v>
      </c>
      <c r="S32" s="21" t="n">
        <f aca="false">맥본_원가표!AG50</f>
        <v>50</v>
      </c>
      <c r="T32" s="21" t="n">
        <f aca="false">맥본_원가표!AH50</f>
        <v>100</v>
      </c>
      <c r="U32" s="21" t="n">
        <f aca="false">맥본_원가표!AI50</f>
        <v>200</v>
      </c>
    </row>
    <row r="33" customFormat="false" ht="15" hidden="false" customHeight="false" outlineLevel="0" collapsed="false">
      <c r="A33" s="25"/>
      <c r="B33" s="25"/>
      <c r="C33" s="18"/>
      <c r="D33" s="19" t="n">
        <f aca="false">맥본_원가표!J51</f>
        <v>10</v>
      </c>
      <c r="E33" s="20" t="n">
        <f aca="false">맥본_원가표!P51</f>
        <v>500</v>
      </c>
      <c r="F33" s="21" t="n">
        <f aca="false">맥본_원가표!I49</f>
        <v>61920</v>
      </c>
      <c r="G33" s="21" t="n">
        <f aca="false">맥본_원가표!O51</f>
        <v>1013.532</v>
      </c>
      <c r="H33" s="21" t="n">
        <f aca="false">맥본_원가표!Q51</f>
        <v>2600</v>
      </c>
      <c r="I33" s="22" t="n">
        <f aca="false">맥본_원가표!R51</f>
        <v>0.61018</v>
      </c>
      <c r="J33" s="21" t="n">
        <f aca="false">맥본_원가표!W51</f>
        <v>260000</v>
      </c>
      <c r="K33" s="21" t="n">
        <f aca="false">맥본_원가표!X51</f>
        <v>234000</v>
      </c>
      <c r="L33" s="21" t="n">
        <f aca="false">맥본_원가표!Y51</f>
        <v>221000</v>
      </c>
      <c r="M33" s="21" t="n">
        <f aca="false">맥본_원가표!Z51</f>
        <v>208000</v>
      </c>
      <c r="N33" s="21" t="n">
        <f aca="false">맥본_원가표!AA51</f>
        <v>2080</v>
      </c>
      <c r="O33" s="19" t="str">
        <f aca="false">맥본_원가표!AC51</f>
        <v>용기포함</v>
      </c>
      <c r="P33" s="21" t="str">
        <f aca="false">맥본_원가표!AD51</f>
        <v>-</v>
      </c>
      <c r="Q33" s="21" t="n">
        <f aca="false">맥본_원가표!AE51</f>
        <v>300</v>
      </c>
      <c r="R33" s="21" t="n">
        <f aca="false">맥본_원가표!AF51</f>
        <v>150</v>
      </c>
      <c r="S33" s="21" t="n">
        <f aca="false">맥본_원가표!AG51</f>
        <v>50</v>
      </c>
      <c r="T33" s="21" t="n">
        <f aca="false">맥본_원가표!AH51</f>
        <v>100</v>
      </c>
      <c r="U33" s="21" t="n">
        <f aca="false">맥본_원가표!AI51</f>
        <v>200</v>
      </c>
    </row>
    <row r="34" customFormat="false" ht="15" hidden="false" customHeight="true" outlineLevel="0" collapsed="false">
      <c r="A34" s="25"/>
      <c r="B34" s="25"/>
      <c r="C34" s="24" t="s">
        <v>41</v>
      </c>
      <c r="D34" s="14" t="n">
        <f aca="false">맥본_원가표!J52</f>
        <v>3</v>
      </c>
      <c r="E34" s="15" t="n">
        <f aca="false">맥본_원가표!P52</f>
        <v>500</v>
      </c>
      <c r="F34" s="16" t="n">
        <f aca="false">맥본_원가표!I52</f>
        <v>51654</v>
      </c>
      <c r="G34" s="16" t="n">
        <f aca="false">맥본_원가표!O52</f>
        <v>451.80402</v>
      </c>
      <c r="H34" s="16" t="n">
        <f aca="false">맥본_원가표!Q52</f>
        <v>1100</v>
      </c>
      <c r="I34" s="17" t="n">
        <f aca="false">맥본_원가표!R52</f>
        <v>0.589269072727273</v>
      </c>
      <c r="J34" s="16" t="n">
        <f aca="false">맥본_원가표!W52</f>
        <v>366666.666666667</v>
      </c>
      <c r="K34" s="16" t="n">
        <f aca="false">맥본_원가표!X52</f>
        <v>330000</v>
      </c>
      <c r="L34" s="16" t="n">
        <f aca="false">맥본_원가표!Y52</f>
        <v>311666.666666667</v>
      </c>
      <c r="M34" s="16" t="n">
        <f aca="false">맥본_원가표!Z52</f>
        <v>293333.333333333</v>
      </c>
      <c r="N34" s="16" t="n">
        <f aca="false">맥본_원가표!AA52</f>
        <v>880</v>
      </c>
      <c r="O34" s="14" t="str">
        <f aca="false">맥본_원가표!AC52</f>
        <v>용기포함</v>
      </c>
      <c r="P34" s="16" t="str">
        <f aca="false">맥본_원가표!AD52</f>
        <v>-</v>
      </c>
      <c r="Q34" s="16" t="n">
        <f aca="false">맥본_원가표!AE52</f>
        <v>300</v>
      </c>
      <c r="R34" s="16" t="n">
        <f aca="false">맥본_원가표!AF52</f>
        <v>150</v>
      </c>
      <c r="S34" s="16" t="n">
        <f aca="false">맥본_원가표!AG52</f>
        <v>50</v>
      </c>
      <c r="T34" s="16" t="n">
        <f aca="false">맥본_원가표!AH52</f>
        <v>100</v>
      </c>
      <c r="U34" s="16" t="n">
        <f aca="false">맥본_원가표!AI52</f>
        <v>200</v>
      </c>
    </row>
    <row r="35" customFormat="false" ht="15" hidden="false" customHeight="false" outlineLevel="0" collapsed="false">
      <c r="A35" s="25"/>
      <c r="B35" s="25"/>
      <c r="C35" s="25"/>
      <c r="D35" s="14" t="n">
        <f aca="false">맥본_원가표!J53</f>
        <v>5</v>
      </c>
      <c r="E35" s="15" t="n">
        <f aca="false">맥본_원가표!P53</f>
        <v>500</v>
      </c>
      <c r="F35" s="16" t="n">
        <f aca="false">맥본_원가표!I52</f>
        <v>51654</v>
      </c>
      <c r="G35" s="16" t="n">
        <f aca="false">맥본_원가표!O53</f>
        <v>576.8067</v>
      </c>
      <c r="H35" s="16" t="n">
        <f aca="false">맥본_원가표!Q53</f>
        <v>1400</v>
      </c>
      <c r="I35" s="17" t="n">
        <f aca="false">맥본_원가표!R53</f>
        <v>0.587995214285714</v>
      </c>
      <c r="J35" s="16" t="n">
        <f aca="false">맥본_원가표!W53</f>
        <v>280000</v>
      </c>
      <c r="K35" s="16" t="n">
        <f aca="false">맥본_원가표!X53</f>
        <v>252000</v>
      </c>
      <c r="L35" s="16" t="n">
        <f aca="false">맥본_원가표!Y53</f>
        <v>238000</v>
      </c>
      <c r="M35" s="16" t="n">
        <f aca="false">맥본_원가표!Z53</f>
        <v>224000</v>
      </c>
      <c r="N35" s="16" t="n">
        <f aca="false">맥본_원가표!AA53</f>
        <v>1120</v>
      </c>
      <c r="O35" s="14" t="str">
        <f aca="false">맥본_원가표!AC53</f>
        <v>용기포함</v>
      </c>
      <c r="P35" s="16" t="str">
        <f aca="false">맥본_원가표!AD53</f>
        <v>-</v>
      </c>
      <c r="Q35" s="16" t="n">
        <f aca="false">맥본_원가표!AE53</f>
        <v>300</v>
      </c>
      <c r="R35" s="16" t="n">
        <f aca="false">맥본_원가표!AF53</f>
        <v>150</v>
      </c>
      <c r="S35" s="16" t="n">
        <f aca="false">맥본_원가표!AG53</f>
        <v>50</v>
      </c>
      <c r="T35" s="16" t="n">
        <f aca="false">맥본_원가표!AH53</f>
        <v>100</v>
      </c>
      <c r="U35" s="16" t="n">
        <f aca="false">맥본_원가표!AI53</f>
        <v>200</v>
      </c>
    </row>
    <row r="36" customFormat="false" ht="15" hidden="false" customHeight="false" outlineLevel="0" collapsed="false">
      <c r="A36" s="25"/>
      <c r="B36" s="25"/>
      <c r="C36" s="24"/>
      <c r="D36" s="14" t="n">
        <f aca="false">맥본_원가표!J54</f>
        <v>10</v>
      </c>
      <c r="E36" s="15" t="n">
        <f aca="false">맥본_원가표!P54</f>
        <v>500</v>
      </c>
      <c r="F36" s="16" t="n">
        <f aca="false">맥본_원가표!I52</f>
        <v>51654</v>
      </c>
      <c r="G36" s="16" t="n">
        <f aca="false">맥본_원가표!O54</f>
        <v>889.3134</v>
      </c>
      <c r="H36" s="16" t="n">
        <f aca="false">맥본_원가표!Q54</f>
        <v>2400</v>
      </c>
      <c r="I36" s="17" t="n">
        <f aca="false">맥본_원가표!R54</f>
        <v>0.62945275</v>
      </c>
      <c r="J36" s="16" t="n">
        <f aca="false">맥본_원가표!W54</f>
        <v>240000</v>
      </c>
      <c r="K36" s="16" t="n">
        <f aca="false">맥본_원가표!X54</f>
        <v>216000</v>
      </c>
      <c r="L36" s="16" t="n">
        <f aca="false">맥본_원가표!Y54</f>
        <v>204000</v>
      </c>
      <c r="M36" s="16" t="n">
        <f aca="false">맥본_원가표!Z54</f>
        <v>192000</v>
      </c>
      <c r="N36" s="16" t="n">
        <f aca="false">맥본_원가표!AA54</f>
        <v>1920</v>
      </c>
      <c r="O36" s="14" t="str">
        <f aca="false">맥본_원가표!AC54</f>
        <v>용기포함</v>
      </c>
      <c r="P36" s="16" t="str">
        <f aca="false">맥본_원가표!AD54</f>
        <v>-</v>
      </c>
      <c r="Q36" s="16" t="n">
        <f aca="false">맥본_원가표!AE54</f>
        <v>300</v>
      </c>
      <c r="R36" s="16" t="n">
        <f aca="false">맥본_원가표!AF54</f>
        <v>150</v>
      </c>
      <c r="S36" s="16" t="n">
        <f aca="false">맥본_원가표!AG54</f>
        <v>50</v>
      </c>
      <c r="T36" s="16" t="n">
        <f aca="false">맥본_원가표!AH54</f>
        <v>100</v>
      </c>
      <c r="U36" s="16" t="n">
        <f aca="false">맥본_원가표!AI54</f>
        <v>200</v>
      </c>
    </row>
    <row r="37" customFormat="false" ht="15" hidden="false" customHeight="true" outlineLevel="0" collapsed="false">
      <c r="A37" s="25"/>
      <c r="B37" s="25"/>
      <c r="C37" s="18" t="s">
        <v>42</v>
      </c>
      <c r="D37" s="19" t="n">
        <f aca="false">맥본_원가표!J55</f>
        <v>3</v>
      </c>
      <c r="E37" s="20" t="n">
        <f aca="false">맥본_원가표!P55</f>
        <v>500</v>
      </c>
      <c r="F37" s="21" t="n">
        <f aca="false">맥본_원가표!I55</f>
        <v>104400</v>
      </c>
      <c r="G37" s="21" t="n">
        <f aca="false">맥본_원가표!O55</f>
        <v>643.272</v>
      </c>
      <c r="H37" s="21" t="n">
        <f aca="false">맥본_원가표!Q55</f>
        <v>1800</v>
      </c>
      <c r="I37" s="22" t="n">
        <f aca="false">맥본_원가표!R55</f>
        <v>0.642626666666667</v>
      </c>
      <c r="J37" s="21" t="n">
        <f aca="false">맥본_원가표!W55</f>
        <v>600000</v>
      </c>
      <c r="K37" s="21" t="n">
        <f aca="false">맥본_원가표!X55</f>
        <v>540000</v>
      </c>
      <c r="L37" s="21" t="n">
        <f aca="false">맥본_원가표!Y55</f>
        <v>510000</v>
      </c>
      <c r="M37" s="21" t="n">
        <f aca="false">맥본_원가표!Z55</f>
        <v>480000</v>
      </c>
      <c r="N37" s="21" t="n">
        <f aca="false">맥본_원가표!AA55</f>
        <v>1440</v>
      </c>
      <c r="O37" s="19" t="str">
        <f aca="false">맥본_원가표!AC55</f>
        <v>용기포함</v>
      </c>
      <c r="P37" s="21" t="str">
        <f aca="false">맥본_원가표!AD55</f>
        <v>-</v>
      </c>
      <c r="Q37" s="21" t="n">
        <f aca="false">맥본_원가표!AE55</f>
        <v>300</v>
      </c>
      <c r="R37" s="21" t="n">
        <f aca="false">맥본_원가표!AF55</f>
        <v>150</v>
      </c>
      <c r="S37" s="21" t="n">
        <f aca="false">맥본_원가표!AG55</f>
        <v>50</v>
      </c>
      <c r="T37" s="21" t="n">
        <f aca="false">맥본_원가표!AH55</f>
        <v>100</v>
      </c>
      <c r="U37" s="21" t="n">
        <f aca="false">맥본_원가표!AI55</f>
        <v>200</v>
      </c>
    </row>
    <row r="38" customFormat="false" ht="15" hidden="false" customHeight="false" outlineLevel="0" collapsed="false">
      <c r="A38" s="25"/>
      <c r="B38" s="25"/>
      <c r="C38" s="25"/>
      <c r="D38" s="19" t="n">
        <f aca="false">맥본_원가표!J56</f>
        <v>5</v>
      </c>
      <c r="E38" s="20" t="n">
        <f aca="false">맥본_원가표!P56</f>
        <v>500</v>
      </c>
      <c r="F38" s="21" t="n">
        <f aca="false">맥본_원가표!I55</f>
        <v>104400</v>
      </c>
      <c r="G38" s="21" t="n">
        <f aca="false">맥본_원가표!O56</f>
        <v>895.92</v>
      </c>
      <c r="H38" s="21" t="n">
        <f aca="false">맥본_원가표!Q56</f>
        <v>2300</v>
      </c>
      <c r="I38" s="22" t="n">
        <f aca="false">맥본_원가표!R56</f>
        <v>0.610469565217391</v>
      </c>
      <c r="J38" s="21" t="n">
        <f aca="false">맥본_원가표!W56</f>
        <v>460000</v>
      </c>
      <c r="K38" s="21" t="n">
        <f aca="false">맥본_원가표!X56</f>
        <v>414000</v>
      </c>
      <c r="L38" s="21" t="n">
        <f aca="false">맥본_원가표!Y56</f>
        <v>391000</v>
      </c>
      <c r="M38" s="21" t="n">
        <f aca="false">맥본_원가표!Z56</f>
        <v>368000</v>
      </c>
      <c r="N38" s="21" t="n">
        <f aca="false">맥본_원가표!AA56</f>
        <v>1840</v>
      </c>
      <c r="O38" s="19" t="str">
        <f aca="false">맥본_원가표!AC56</f>
        <v>용기포함</v>
      </c>
      <c r="P38" s="21" t="str">
        <f aca="false">맥본_원가표!AD56</f>
        <v>-</v>
      </c>
      <c r="Q38" s="21" t="n">
        <f aca="false">맥본_원가표!AE56</f>
        <v>300</v>
      </c>
      <c r="R38" s="21" t="n">
        <f aca="false">맥본_원가표!AF56</f>
        <v>150</v>
      </c>
      <c r="S38" s="21" t="n">
        <f aca="false">맥본_원가표!AG56</f>
        <v>50</v>
      </c>
      <c r="T38" s="21" t="n">
        <f aca="false">맥본_원가표!AH56</f>
        <v>100</v>
      </c>
      <c r="U38" s="21" t="n">
        <f aca="false">맥본_원가표!AI56</f>
        <v>200</v>
      </c>
    </row>
    <row r="39" customFormat="false" ht="15" hidden="false" customHeight="false" outlineLevel="0" collapsed="false">
      <c r="A39" s="25"/>
      <c r="B39" s="25"/>
      <c r="C39" s="25"/>
      <c r="D39" s="19" t="n">
        <f aca="false">맥본_원가표!J57</f>
        <v>10</v>
      </c>
      <c r="E39" s="20" t="n">
        <f aca="false">맥본_원가표!P57</f>
        <v>500</v>
      </c>
      <c r="F39" s="21" t="n">
        <f aca="false">맥본_원가표!I55</f>
        <v>104400</v>
      </c>
      <c r="G39" s="21" t="n">
        <f aca="false">맥본_원가표!O57</f>
        <v>1527.54</v>
      </c>
      <c r="H39" s="21" t="n">
        <f aca="false">맥본_원가표!Q57</f>
        <v>3600</v>
      </c>
      <c r="I39" s="22" t="n">
        <f aca="false">맥본_원가표!R57</f>
        <v>0.575683333333333</v>
      </c>
      <c r="J39" s="21" t="n">
        <f aca="false">맥본_원가표!W57</f>
        <v>360000</v>
      </c>
      <c r="K39" s="21" t="n">
        <f aca="false">맥본_원가표!X57</f>
        <v>324000</v>
      </c>
      <c r="L39" s="21" t="n">
        <f aca="false">맥본_원가표!Y57</f>
        <v>306000</v>
      </c>
      <c r="M39" s="21" t="n">
        <f aca="false">맥본_원가표!Z57</f>
        <v>288000</v>
      </c>
      <c r="N39" s="21" t="n">
        <f aca="false">맥본_원가표!AA57</f>
        <v>2880</v>
      </c>
      <c r="O39" s="19" t="str">
        <f aca="false">맥본_원가표!AC57</f>
        <v>용기포함</v>
      </c>
      <c r="P39" s="21" t="str">
        <f aca="false">맥본_원가표!AD57</f>
        <v>-</v>
      </c>
      <c r="Q39" s="21" t="n">
        <f aca="false">맥본_원가표!AE57</f>
        <v>300</v>
      </c>
      <c r="R39" s="21" t="n">
        <f aca="false">맥본_원가표!AF57</f>
        <v>150</v>
      </c>
      <c r="S39" s="21" t="n">
        <f aca="false">맥본_원가표!AG57</f>
        <v>50</v>
      </c>
      <c r="T39" s="21" t="n">
        <f aca="false">맥본_원가표!AH57</f>
        <v>100</v>
      </c>
      <c r="U39" s="21" t="n">
        <f aca="false">맥본_원가표!AI57</f>
        <v>200</v>
      </c>
    </row>
    <row r="40" customFormat="false" ht="15" hidden="false" customHeight="true" outlineLevel="0" collapsed="false">
      <c r="A40" s="26" t="s">
        <v>43</v>
      </c>
      <c r="B40" s="8" t="s">
        <v>43</v>
      </c>
      <c r="C40" s="9" t="s">
        <v>44</v>
      </c>
      <c r="D40" s="10" t="n">
        <f aca="false">맥본_원가표!J63</f>
        <v>5</v>
      </c>
      <c r="E40" s="11" t="n">
        <f aca="false">맥본_원가표!P63</f>
        <v>1000</v>
      </c>
      <c r="F40" s="12" t="n">
        <f aca="false">맥본_원가표!I63</f>
        <v>20000</v>
      </c>
      <c r="G40" s="12" t="n">
        <f aca="false">맥본_원가표!O63</f>
        <v>385.3</v>
      </c>
      <c r="H40" s="12" t="n">
        <f aca="false">맥본_원가표!Q63</f>
        <v>1000</v>
      </c>
      <c r="I40" s="13" t="n">
        <f aca="false">맥본_원가표!R63</f>
        <v>0.6147</v>
      </c>
      <c r="J40" s="12" t="n">
        <f aca="false">맥본_원가표!W63</f>
        <v>200000</v>
      </c>
      <c r="K40" s="12" t="n">
        <f aca="false">맥본_원가표!X63</f>
        <v>180000</v>
      </c>
      <c r="L40" s="12" t="n">
        <f aca="false">맥본_원가표!Y63</f>
        <v>170000</v>
      </c>
      <c r="M40" s="12" t="n">
        <f aca="false">맥본_원가표!Z63</f>
        <v>160000</v>
      </c>
      <c r="N40" s="12" t="n">
        <f aca="false">맥본_원가표!AA63</f>
        <v>800</v>
      </c>
      <c r="O40" s="10" t="str">
        <f aca="false">맥본_원가표!AC63</f>
        <v>용기별도</v>
      </c>
      <c r="P40" s="12" t="n">
        <f aca="false">맥본_원가표!AD63</f>
        <v>200</v>
      </c>
      <c r="Q40" s="12" t="n">
        <f aca="false">맥본_원가표!AE63</f>
        <v>300</v>
      </c>
      <c r="R40" s="12" t="n">
        <f aca="false">맥본_원가표!AF63</f>
        <v>150</v>
      </c>
      <c r="S40" s="12" t="n">
        <f aca="false">맥본_원가표!AG63</f>
        <v>50</v>
      </c>
      <c r="T40" s="12" t="n">
        <f aca="false">맥본_원가표!AH63</f>
        <v>100</v>
      </c>
      <c r="U40" s="12" t="n">
        <f aca="false">맥본_원가표!AI63</f>
        <v>200</v>
      </c>
    </row>
    <row r="41" customFormat="false" ht="15" hidden="false" customHeight="false" outlineLevel="0" collapsed="false">
      <c r="A41" s="26"/>
      <c r="B41" s="26"/>
      <c r="C41" s="26"/>
      <c r="D41" s="14" t="n">
        <f aca="false">맥본_원가표!J64</f>
        <v>10</v>
      </c>
      <c r="E41" s="15" t="n">
        <f aca="false">맥본_원가표!P64</f>
        <v>1000</v>
      </c>
      <c r="F41" s="16" t="n">
        <f aca="false">맥본_원가표!I63</f>
        <v>20000</v>
      </c>
      <c r="G41" s="16" t="n">
        <f aca="false">맥본_원가표!O64</f>
        <v>506.3</v>
      </c>
      <c r="H41" s="16" t="n">
        <f aca="false">맥본_원가표!Q64</f>
        <v>1200</v>
      </c>
      <c r="I41" s="17" t="n">
        <f aca="false">맥본_원가표!R64</f>
        <v>0.578083333333333</v>
      </c>
      <c r="J41" s="16" t="n">
        <f aca="false">맥본_원가표!W64</f>
        <v>120000</v>
      </c>
      <c r="K41" s="16" t="n">
        <f aca="false">맥본_원가표!X64</f>
        <v>108000</v>
      </c>
      <c r="L41" s="16" t="n">
        <f aca="false">맥본_원가표!Y64</f>
        <v>102000</v>
      </c>
      <c r="M41" s="16" t="n">
        <f aca="false">맥본_원가표!Z64</f>
        <v>96000</v>
      </c>
      <c r="N41" s="16" t="n">
        <f aca="false">맥본_원가표!AA64</f>
        <v>960</v>
      </c>
      <c r="O41" s="14" t="str">
        <f aca="false">맥본_원가표!AC64</f>
        <v>용기별도</v>
      </c>
      <c r="P41" s="16" t="n">
        <f aca="false">맥본_원가표!AD64</f>
        <v>200</v>
      </c>
      <c r="Q41" s="16" t="n">
        <f aca="false">맥본_원가표!AE64</f>
        <v>300</v>
      </c>
      <c r="R41" s="16" t="n">
        <f aca="false">맥본_원가표!AF64</f>
        <v>150</v>
      </c>
      <c r="S41" s="16" t="n">
        <f aca="false">맥본_원가표!AG64</f>
        <v>50</v>
      </c>
      <c r="T41" s="16" t="n">
        <f aca="false">맥본_원가표!AH64</f>
        <v>100</v>
      </c>
      <c r="U41" s="16" t="n">
        <f aca="false">맥본_원가표!AI64</f>
        <v>200</v>
      </c>
    </row>
    <row r="42" customFormat="false" ht="15" hidden="false" customHeight="false" outlineLevel="0" collapsed="false">
      <c r="A42" s="26"/>
      <c r="B42" s="26"/>
      <c r="C42" s="26"/>
      <c r="D42" s="14" t="n">
        <f aca="false">맥본_원가표!J65</f>
        <v>15</v>
      </c>
      <c r="E42" s="15" t="n">
        <f aca="false">맥본_원가표!P65</f>
        <v>1000</v>
      </c>
      <c r="F42" s="16" t="n">
        <f aca="false">맥본_원가표!I63</f>
        <v>20000</v>
      </c>
      <c r="G42" s="16" t="n">
        <f aca="false">맥본_원가표!O65</f>
        <v>627.3</v>
      </c>
      <c r="H42" s="16" t="n">
        <f aca="false">맥본_원가표!Q65</f>
        <v>1400</v>
      </c>
      <c r="I42" s="17" t="n">
        <f aca="false">맥본_원가표!R65</f>
        <v>0.551928571428571</v>
      </c>
      <c r="J42" s="16" t="n">
        <f aca="false">맥본_원가표!W65</f>
        <v>93333.3333333333</v>
      </c>
      <c r="K42" s="16" t="n">
        <f aca="false">맥본_원가표!X65</f>
        <v>84000</v>
      </c>
      <c r="L42" s="16" t="n">
        <f aca="false">맥본_원가표!Y65</f>
        <v>79333.3333333333</v>
      </c>
      <c r="M42" s="16" t="n">
        <f aca="false">맥본_원가표!Z65</f>
        <v>74666.6666666667</v>
      </c>
      <c r="N42" s="16" t="n">
        <f aca="false">맥본_원가표!AA65</f>
        <v>1120</v>
      </c>
      <c r="O42" s="14" t="str">
        <f aca="false">맥본_원가표!AC65</f>
        <v>용기별도</v>
      </c>
      <c r="P42" s="16" t="n">
        <f aca="false">맥본_원가표!AD65</f>
        <v>200</v>
      </c>
      <c r="Q42" s="16" t="n">
        <f aca="false">맥본_원가표!AE65</f>
        <v>300</v>
      </c>
      <c r="R42" s="16" t="n">
        <f aca="false">맥본_원가표!AF65</f>
        <v>150</v>
      </c>
      <c r="S42" s="16" t="n">
        <f aca="false">맥본_원가표!AG65</f>
        <v>50</v>
      </c>
      <c r="T42" s="16" t="n">
        <f aca="false">맥본_원가표!AH65</f>
        <v>100</v>
      </c>
      <c r="U42" s="16" t="n">
        <f aca="false">맥본_원가표!AI65</f>
        <v>200</v>
      </c>
    </row>
    <row r="43" customFormat="false" ht="15" hidden="false" customHeight="false" outlineLevel="0" collapsed="false">
      <c r="A43" s="26"/>
      <c r="B43" s="26"/>
      <c r="C43" s="9"/>
      <c r="D43" s="14" t="n">
        <f aca="false">맥본_원가표!J66</f>
        <v>20</v>
      </c>
      <c r="E43" s="15" t="n">
        <f aca="false">맥본_원가표!P66</f>
        <v>1000</v>
      </c>
      <c r="F43" s="16" t="n">
        <f aca="false">맥본_원가표!I63</f>
        <v>20000</v>
      </c>
      <c r="G43" s="16" t="n">
        <f aca="false">맥본_원가표!O66</f>
        <v>748.3</v>
      </c>
      <c r="H43" s="16" t="n">
        <f aca="false">맥본_원가표!Q66</f>
        <v>1600</v>
      </c>
      <c r="I43" s="17" t="n">
        <f aca="false">맥본_원가표!R66</f>
        <v>0.5323125</v>
      </c>
      <c r="J43" s="16" t="n">
        <f aca="false">맥본_원가표!W66</f>
        <v>80000</v>
      </c>
      <c r="K43" s="16" t="n">
        <f aca="false">맥본_원가표!X66</f>
        <v>72000</v>
      </c>
      <c r="L43" s="16" t="n">
        <f aca="false">맥본_원가표!Y66</f>
        <v>68000</v>
      </c>
      <c r="M43" s="16" t="n">
        <f aca="false">맥본_원가표!Z66</f>
        <v>64000</v>
      </c>
      <c r="N43" s="16" t="n">
        <f aca="false">맥본_원가표!AA66</f>
        <v>1280</v>
      </c>
      <c r="O43" s="14" t="str">
        <f aca="false">맥본_원가표!AC66</f>
        <v>용기별도</v>
      </c>
      <c r="P43" s="16" t="n">
        <f aca="false">맥본_원가표!AD66</f>
        <v>200</v>
      </c>
      <c r="Q43" s="16" t="n">
        <f aca="false">맥본_원가표!AE66</f>
        <v>300</v>
      </c>
      <c r="R43" s="16" t="n">
        <f aca="false">맥본_원가표!AF66</f>
        <v>150</v>
      </c>
      <c r="S43" s="16" t="n">
        <f aca="false">맥본_원가표!AG66</f>
        <v>50</v>
      </c>
      <c r="T43" s="16" t="n">
        <f aca="false">맥본_원가표!AH66</f>
        <v>100</v>
      </c>
      <c r="U43" s="16" t="n">
        <f aca="false">맥본_원가표!AI66</f>
        <v>200</v>
      </c>
    </row>
    <row r="44" customFormat="false" ht="15" hidden="false" customHeight="true" outlineLevel="0" collapsed="false">
      <c r="A44" s="26"/>
      <c r="B44" s="26"/>
      <c r="C44" s="18" t="s">
        <v>45</v>
      </c>
      <c r="D44" s="19" t="n">
        <f aca="false">맥본_원가표!J67</f>
        <v>5</v>
      </c>
      <c r="E44" s="20" t="n">
        <f aca="false">맥본_원가표!P67</f>
        <v>1000</v>
      </c>
      <c r="F44" s="21" t="n">
        <f aca="false">맥본_원가표!I67</f>
        <v>31240</v>
      </c>
      <c r="G44" s="21" t="n">
        <f aca="false">맥본_원가표!O67</f>
        <v>453.302</v>
      </c>
      <c r="H44" s="21" t="n">
        <f aca="false">맥본_원가표!Q67</f>
        <v>1200</v>
      </c>
      <c r="I44" s="22" t="n">
        <f aca="false">맥본_원가표!R67</f>
        <v>0.622248333333333</v>
      </c>
      <c r="J44" s="21" t="n">
        <f aca="false">맥본_원가표!W67</f>
        <v>240000</v>
      </c>
      <c r="K44" s="21" t="n">
        <f aca="false">맥본_원가표!X67</f>
        <v>216000</v>
      </c>
      <c r="L44" s="21" t="n">
        <f aca="false">맥본_원가표!Y67</f>
        <v>204000</v>
      </c>
      <c r="M44" s="21" t="n">
        <f aca="false">맥본_원가표!Z67</f>
        <v>192000</v>
      </c>
      <c r="N44" s="21" t="n">
        <f aca="false">맥본_원가표!AA67</f>
        <v>960</v>
      </c>
      <c r="O44" s="19" t="str">
        <f aca="false">맥본_원가표!AC67</f>
        <v>용기별도</v>
      </c>
      <c r="P44" s="21" t="n">
        <f aca="false">맥본_원가표!AD67</f>
        <v>200</v>
      </c>
      <c r="Q44" s="21" t="n">
        <f aca="false">맥본_원가표!AE67</f>
        <v>300</v>
      </c>
      <c r="R44" s="21" t="n">
        <f aca="false">맥본_원가표!AF67</f>
        <v>150</v>
      </c>
      <c r="S44" s="21" t="n">
        <f aca="false">맥본_원가표!AG67</f>
        <v>50</v>
      </c>
      <c r="T44" s="21" t="n">
        <f aca="false">맥본_원가표!AH67</f>
        <v>100</v>
      </c>
      <c r="U44" s="21" t="n">
        <f aca="false">맥본_원가표!AI67</f>
        <v>200</v>
      </c>
    </row>
    <row r="45" customFormat="false" ht="15" hidden="false" customHeight="false" outlineLevel="0" collapsed="false">
      <c r="A45" s="26"/>
      <c r="B45" s="26"/>
      <c r="C45" s="26"/>
      <c r="D45" s="19" t="n">
        <f aca="false">맥본_원가표!J68</f>
        <v>10</v>
      </c>
      <c r="E45" s="20" t="n">
        <f aca="false">맥본_원가표!P68</f>
        <v>1000</v>
      </c>
      <c r="F45" s="21" t="n">
        <f aca="false">맥본_원가표!I67</f>
        <v>31240</v>
      </c>
      <c r="G45" s="21" t="n">
        <f aca="false">맥본_원가표!O68</f>
        <v>642.304</v>
      </c>
      <c r="H45" s="21" t="n">
        <f aca="false">맥본_원가표!Q68</f>
        <v>1500</v>
      </c>
      <c r="I45" s="22" t="n">
        <f aca="false">맥본_원가표!R68</f>
        <v>0.571797333333333</v>
      </c>
      <c r="J45" s="21" t="n">
        <f aca="false">맥본_원가표!W68</f>
        <v>150000</v>
      </c>
      <c r="K45" s="21" t="n">
        <f aca="false">맥본_원가표!X68</f>
        <v>135000</v>
      </c>
      <c r="L45" s="21" t="n">
        <f aca="false">맥본_원가표!Y68</f>
        <v>127500</v>
      </c>
      <c r="M45" s="21" t="n">
        <f aca="false">맥본_원가표!Z68</f>
        <v>120000</v>
      </c>
      <c r="N45" s="21" t="n">
        <f aca="false">맥본_원가표!AA68</f>
        <v>1200</v>
      </c>
      <c r="O45" s="19" t="str">
        <f aca="false">맥본_원가표!AC68</f>
        <v>용기별도</v>
      </c>
      <c r="P45" s="21" t="n">
        <f aca="false">맥본_원가표!AD68</f>
        <v>200</v>
      </c>
      <c r="Q45" s="21" t="n">
        <f aca="false">맥본_원가표!AE68</f>
        <v>300</v>
      </c>
      <c r="R45" s="21" t="n">
        <f aca="false">맥본_원가표!AF68</f>
        <v>150</v>
      </c>
      <c r="S45" s="21" t="n">
        <f aca="false">맥본_원가표!AG68</f>
        <v>50</v>
      </c>
      <c r="T45" s="21" t="n">
        <f aca="false">맥본_원가표!AH68</f>
        <v>100</v>
      </c>
      <c r="U45" s="21" t="n">
        <f aca="false">맥본_원가표!AI68</f>
        <v>200</v>
      </c>
    </row>
    <row r="46" customFormat="false" ht="15" hidden="false" customHeight="false" outlineLevel="0" collapsed="false">
      <c r="A46" s="26"/>
      <c r="B46" s="26"/>
      <c r="C46" s="26"/>
      <c r="D46" s="19" t="n">
        <f aca="false">맥본_원가표!J69</f>
        <v>15</v>
      </c>
      <c r="E46" s="20" t="n">
        <f aca="false">맥본_원가표!P69</f>
        <v>1000</v>
      </c>
      <c r="F46" s="21" t="n">
        <f aca="false">맥본_원가표!I67</f>
        <v>31240</v>
      </c>
      <c r="G46" s="21" t="n">
        <f aca="false">맥본_원가표!O69</f>
        <v>831.306</v>
      </c>
      <c r="H46" s="21" t="n">
        <f aca="false">맥본_원가표!Q69</f>
        <v>1800</v>
      </c>
      <c r="I46" s="22" t="n">
        <f aca="false">맥본_원가표!R69</f>
        <v>0.538163333333333</v>
      </c>
      <c r="J46" s="21" t="n">
        <f aca="false">맥본_원가표!W69</f>
        <v>120000</v>
      </c>
      <c r="K46" s="21" t="n">
        <f aca="false">맥본_원가표!X69</f>
        <v>108000</v>
      </c>
      <c r="L46" s="21" t="n">
        <f aca="false">맥본_원가표!Y69</f>
        <v>102000</v>
      </c>
      <c r="M46" s="21" t="n">
        <f aca="false">맥본_원가표!Z69</f>
        <v>96000</v>
      </c>
      <c r="N46" s="21" t="n">
        <f aca="false">맥본_원가표!AA69</f>
        <v>1440</v>
      </c>
      <c r="O46" s="19" t="str">
        <f aca="false">맥본_원가표!AC69</f>
        <v>용기별도</v>
      </c>
      <c r="P46" s="21" t="n">
        <f aca="false">맥본_원가표!AD69</f>
        <v>200</v>
      </c>
      <c r="Q46" s="21" t="n">
        <f aca="false">맥본_원가표!AE69</f>
        <v>300</v>
      </c>
      <c r="R46" s="21" t="n">
        <f aca="false">맥본_원가표!AF69</f>
        <v>150</v>
      </c>
      <c r="S46" s="21" t="n">
        <f aca="false">맥본_원가표!AG69</f>
        <v>50</v>
      </c>
      <c r="T46" s="21" t="n">
        <f aca="false">맥본_원가표!AH69</f>
        <v>100</v>
      </c>
      <c r="U46" s="21" t="n">
        <f aca="false">맥본_원가표!AI69</f>
        <v>200</v>
      </c>
    </row>
    <row r="47" customFormat="false" ht="15" hidden="false" customHeight="false" outlineLevel="0" collapsed="false">
      <c r="A47" s="26"/>
      <c r="B47" s="26"/>
      <c r="C47" s="18"/>
      <c r="D47" s="19" t="n">
        <f aca="false">맥본_원가표!J70</f>
        <v>20</v>
      </c>
      <c r="E47" s="20" t="n">
        <f aca="false">맥본_원가표!P70</f>
        <v>1000</v>
      </c>
      <c r="F47" s="21" t="n">
        <f aca="false">맥본_원가표!I67</f>
        <v>31240</v>
      </c>
      <c r="G47" s="21" t="n">
        <f aca="false">맥본_원가표!O70</f>
        <v>1020.308</v>
      </c>
      <c r="H47" s="21" t="n">
        <f aca="false">맥본_원가표!Q70</f>
        <v>2100</v>
      </c>
      <c r="I47" s="22" t="n">
        <f aca="false">맥본_원가표!R70</f>
        <v>0.514139047619048</v>
      </c>
      <c r="J47" s="21" t="n">
        <f aca="false">맥본_원가표!W70</f>
        <v>105000</v>
      </c>
      <c r="K47" s="21" t="n">
        <f aca="false">맥본_원가표!X70</f>
        <v>94500</v>
      </c>
      <c r="L47" s="21" t="n">
        <f aca="false">맥본_원가표!Y70</f>
        <v>89250</v>
      </c>
      <c r="M47" s="21" t="n">
        <f aca="false">맥본_원가표!Z70</f>
        <v>84000</v>
      </c>
      <c r="N47" s="21" t="n">
        <f aca="false">맥본_원가표!AA70</f>
        <v>1680</v>
      </c>
      <c r="O47" s="19" t="str">
        <f aca="false">맥본_원가표!AC70</f>
        <v>용기별도</v>
      </c>
      <c r="P47" s="21" t="n">
        <f aca="false">맥본_원가표!AD70</f>
        <v>200</v>
      </c>
      <c r="Q47" s="21" t="n">
        <f aca="false">맥본_원가표!AE70</f>
        <v>300</v>
      </c>
      <c r="R47" s="21" t="n">
        <f aca="false">맥본_원가표!AF70</f>
        <v>150</v>
      </c>
      <c r="S47" s="21" t="n">
        <f aca="false">맥본_원가표!AG70</f>
        <v>50</v>
      </c>
      <c r="T47" s="21" t="n">
        <f aca="false">맥본_원가표!AH70</f>
        <v>100</v>
      </c>
      <c r="U47" s="21" t="n">
        <f aca="false">맥본_원가표!AI70</f>
        <v>200</v>
      </c>
    </row>
    <row r="48" customFormat="false" ht="15" hidden="false" customHeight="true" outlineLevel="0" collapsed="false">
      <c r="A48" s="26"/>
      <c r="B48" s="26"/>
      <c r="C48" s="24" t="s">
        <v>46</v>
      </c>
      <c r="D48" s="14" t="n">
        <f aca="false">맥본_원가표!J71</f>
        <v>5</v>
      </c>
      <c r="E48" s="15" t="n">
        <f aca="false">맥본_원가표!P71</f>
        <v>1000</v>
      </c>
      <c r="F48" s="16" t="n">
        <f aca="false">맥본_원가표!I71</f>
        <v>26000</v>
      </c>
      <c r="G48" s="16" t="n">
        <f aca="false">맥본_원가표!O71</f>
        <v>421.6</v>
      </c>
      <c r="H48" s="16" t="n">
        <f aca="false">맥본_원가표!Q71</f>
        <v>1100</v>
      </c>
      <c r="I48" s="17" t="n">
        <f aca="false">맥본_원가표!R71</f>
        <v>0.616727272727273</v>
      </c>
      <c r="J48" s="16" t="n">
        <f aca="false">맥본_원가표!W71</f>
        <v>220000</v>
      </c>
      <c r="K48" s="16" t="n">
        <f aca="false">맥본_원가표!X71</f>
        <v>198000</v>
      </c>
      <c r="L48" s="16" t="n">
        <f aca="false">맥본_원가표!Y71</f>
        <v>187000</v>
      </c>
      <c r="M48" s="16" t="n">
        <f aca="false">맥본_원가표!Z71</f>
        <v>176000</v>
      </c>
      <c r="N48" s="16" t="n">
        <f aca="false">맥본_원가표!AA71</f>
        <v>880</v>
      </c>
      <c r="O48" s="14" t="str">
        <f aca="false">맥본_원가표!AC71</f>
        <v>용기별도</v>
      </c>
      <c r="P48" s="16" t="n">
        <f aca="false">맥본_원가표!AD71</f>
        <v>200</v>
      </c>
      <c r="Q48" s="16" t="n">
        <f aca="false">맥본_원가표!AE71</f>
        <v>300</v>
      </c>
      <c r="R48" s="16" t="n">
        <f aca="false">맥본_원가표!AF71</f>
        <v>150</v>
      </c>
      <c r="S48" s="16" t="n">
        <f aca="false">맥본_원가표!AG71</f>
        <v>50</v>
      </c>
      <c r="T48" s="16" t="n">
        <f aca="false">맥본_원가표!AH71</f>
        <v>100</v>
      </c>
      <c r="U48" s="16" t="n">
        <f aca="false">맥본_원가표!AI71</f>
        <v>200</v>
      </c>
    </row>
    <row r="49" customFormat="false" ht="15" hidden="false" customHeight="false" outlineLevel="0" collapsed="false">
      <c r="A49" s="26"/>
      <c r="B49" s="26"/>
      <c r="C49" s="26"/>
      <c r="D49" s="14" t="n">
        <f aca="false">맥본_원가표!J72</f>
        <v>10</v>
      </c>
      <c r="E49" s="15" t="n">
        <f aca="false">맥본_원가표!P72</f>
        <v>1000</v>
      </c>
      <c r="F49" s="16" t="n">
        <f aca="false">맥본_원가표!I71</f>
        <v>26000</v>
      </c>
      <c r="G49" s="16" t="n">
        <f aca="false">맥본_원가표!O72</f>
        <v>578.9</v>
      </c>
      <c r="H49" s="16" t="n">
        <f aca="false">맥본_원가표!Q72</f>
        <v>1300</v>
      </c>
      <c r="I49" s="17" t="n">
        <f aca="false">맥본_원가표!R72</f>
        <v>0.554692307692308</v>
      </c>
      <c r="J49" s="16" t="n">
        <f aca="false">맥본_원가표!W72</f>
        <v>130000</v>
      </c>
      <c r="K49" s="16" t="n">
        <f aca="false">맥본_원가표!X72</f>
        <v>117000</v>
      </c>
      <c r="L49" s="16" t="n">
        <f aca="false">맥본_원가표!Y72</f>
        <v>110500</v>
      </c>
      <c r="M49" s="16" t="n">
        <f aca="false">맥본_원가표!Z72</f>
        <v>104000</v>
      </c>
      <c r="N49" s="16" t="n">
        <f aca="false">맥본_원가표!AA72</f>
        <v>1040</v>
      </c>
      <c r="O49" s="14" t="str">
        <f aca="false">맥본_원가표!AC72</f>
        <v>용기별도</v>
      </c>
      <c r="P49" s="16" t="n">
        <f aca="false">맥본_원가표!AD72</f>
        <v>200</v>
      </c>
      <c r="Q49" s="16" t="n">
        <f aca="false">맥본_원가표!AE72</f>
        <v>300</v>
      </c>
      <c r="R49" s="16" t="n">
        <f aca="false">맥본_원가표!AF72</f>
        <v>150</v>
      </c>
      <c r="S49" s="16" t="n">
        <f aca="false">맥본_원가표!AG72</f>
        <v>50</v>
      </c>
      <c r="T49" s="16" t="n">
        <f aca="false">맥본_원가표!AH72</f>
        <v>100</v>
      </c>
      <c r="U49" s="16" t="n">
        <f aca="false">맥본_원가표!AI72</f>
        <v>200</v>
      </c>
    </row>
    <row r="50" customFormat="false" ht="15" hidden="false" customHeight="false" outlineLevel="0" collapsed="false">
      <c r="A50" s="26"/>
      <c r="B50" s="26"/>
      <c r="C50" s="26"/>
      <c r="D50" s="14" t="n">
        <f aca="false">맥본_원가표!J73</f>
        <v>15</v>
      </c>
      <c r="E50" s="15" t="n">
        <f aca="false">맥본_원가표!P73</f>
        <v>1000</v>
      </c>
      <c r="F50" s="16" t="n">
        <f aca="false">맥본_원가표!I71</f>
        <v>26000</v>
      </c>
      <c r="G50" s="16" t="n">
        <f aca="false">맥본_원가표!O73</f>
        <v>736.2</v>
      </c>
      <c r="H50" s="16" t="n">
        <f aca="false">맥본_원가표!Q73</f>
        <v>1500</v>
      </c>
      <c r="I50" s="17" t="n">
        <f aca="false">맥본_원가표!R73</f>
        <v>0.5092</v>
      </c>
      <c r="J50" s="16" t="n">
        <f aca="false">맥본_원가표!W73</f>
        <v>100000</v>
      </c>
      <c r="K50" s="16" t="n">
        <f aca="false">맥본_원가표!X73</f>
        <v>90000</v>
      </c>
      <c r="L50" s="16" t="n">
        <f aca="false">맥본_원가표!Y73</f>
        <v>85000</v>
      </c>
      <c r="M50" s="16" t="n">
        <f aca="false">맥본_원가표!Z73</f>
        <v>80000</v>
      </c>
      <c r="N50" s="16" t="n">
        <f aca="false">맥본_원가표!AA73</f>
        <v>1200</v>
      </c>
      <c r="O50" s="14" t="str">
        <f aca="false">맥본_원가표!AC73</f>
        <v>용기별도</v>
      </c>
      <c r="P50" s="16" t="n">
        <f aca="false">맥본_원가표!AD73</f>
        <v>200</v>
      </c>
      <c r="Q50" s="16" t="n">
        <f aca="false">맥본_원가표!AE73</f>
        <v>300</v>
      </c>
      <c r="R50" s="16" t="n">
        <f aca="false">맥본_원가표!AF73</f>
        <v>150</v>
      </c>
      <c r="S50" s="16" t="n">
        <f aca="false">맥본_원가표!AG73</f>
        <v>50</v>
      </c>
      <c r="T50" s="16" t="n">
        <f aca="false">맥본_원가표!AH73</f>
        <v>100</v>
      </c>
      <c r="U50" s="16" t="n">
        <f aca="false">맥본_원가표!AI73</f>
        <v>200</v>
      </c>
    </row>
    <row r="51" customFormat="false" ht="15" hidden="false" customHeight="false" outlineLevel="0" collapsed="false">
      <c r="A51" s="26"/>
      <c r="B51" s="26"/>
      <c r="C51" s="26"/>
      <c r="D51" s="14" t="n">
        <f aca="false">맥본_원가표!J74</f>
        <v>20</v>
      </c>
      <c r="E51" s="15" t="n">
        <f aca="false">맥본_원가표!P74</f>
        <v>1000</v>
      </c>
      <c r="F51" s="16" t="n">
        <f aca="false">맥본_원가표!I71</f>
        <v>26000</v>
      </c>
      <c r="G51" s="16" t="n">
        <f aca="false">맥본_원가표!O74</f>
        <v>893.5</v>
      </c>
      <c r="H51" s="16" t="n">
        <f aca="false">맥본_원가표!Q74</f>
        <v>1700</v>
      </c>
      <c r="I51" s="17" t="n">
        <f aca="false">맥본_원가표!R74</f>
        <v>0.474411764705882</v>
      </c>
      <c r="J51" s="16" t="n">
        <f aca="false">맥본_원가표!W74</f>
        <v>85000</v>
      </c>
      <c r="K51" s="16" t="n">
        <f aca="false">맥본_원가표!X74</f>
        <v>76500</v>
      </c>
      <c r="L51" s="16" t="n">
        <f aca="false">맥본_원가표!Y74</f>
        <v>72250</v>
      </c>
      <c r="M51" s="16" t="n">
        <f aca="false">맥본_원가표!Z74</f>
        <v>68000</v>
      </c>
      <c r="N51" s="16" t="n">
        <f aca="false">맥본_원가표!AA74</f>
        <v>1360</v>
      </c>
      <c r="O51" s="14" t="str">
        <f aca="false">맥본_원가표!AC74</f>
        <v>용기별도</v>
      </c>
      <c r="P51" s="16" t="n">
        <f aca="false">맥본_원가표!AD74</f>
        <v>200</v>
      </c>
      <c r="Q51" s="16" t="n">
        <f aca="false">맥본_원가표!AE74</f>
        <v>300</v>
      </c>
      <c r="R51" s="16" t="n">
        <f aca="false">맥본_원가표!AF74</f>
        <v>150</v>
      </c>
      <c r="S51" s="16" t="n">
        <f aca="false">맥본_원가표!AG74</f>
        <v>50</v>
      </c>
      <c r="T51" s="16" t="n">
        <f aca="false">맥본_원가표!AH74</f>
        <v>100</v>
      </c>
      <c r="U51" s="16" t="n">
        <f aca="false">맥본_원가표!AI74</f>
        <v>200</v>
      </c>
    </row>
    <row r="52" customFormat="false" ht="15" hidden="false" customHeight="true" outlineLevel="0" collapsed="false">
      <c r="A52" s="27" t="s">
        <v>47</v>
      </c>
      <c r="B52" s="28" t="s">
        <v>48</v>
      </c>
      <c r="C52" s="29" t="s">
        <v>49</v>
      </c>
      <c r="D52" s="30" t="n">
        <f aca="false">맥본_원가표!J87</f>
        <v>50</v>
      </c>
      <c r="E52" s="31" t="n">
        <f aca="false">맥본_원가표!P87</f>
        <v>1000</v>
      </c>
      <c r="F52" s="32" t="n">
        <f aca="false">맥본_원가표!I87</f>
        <v>4000</v>
      </c>
      <c r="G52" s="32" t="n">
        <f aca="false">맥본_원가표!O87</f>
        <v>506.3</v>
      </c>
      <c r="H52" s="32" t="n">
        <f aca="false">맥본_원가표!Q87</f>
        <v>1200</v>
      </c>
      <c r="I52" s="33" t="n">
        <f aca="false">맥본_원가표!R87</f>
        <v>0.578083333333333</v>
      </c>
      <c r="J52" s="32" t="n">
        <f aca="false">맥본_원가표!W87</f>
        <v>24000</v>
      </c>
      <c r="K52" s="32" t="n">
        <f aca="false">맥본_원가표!X87</f>
        <v>21600</v>
      </c>
      <c r="L52" s="32" t="n">
        <f aca="false">맥본_원가표!Y87</f>
        <v>20400</v>
      </c>
      <c r="M52" s="32" t="n">
        <f aca="false">맥본_원가표!Z87</f>
        <v>19200</v>
      </c>
      <c r="N52" s="32" t="n">
        <f aca="false">맥본_원가표!AA87</f>
        <v>960</v>
      </c>
      <c r="O52" s="30" t="str">
        <f aca="false">맥본_원가표!AC87</f>
        <v>용기별도</v>
      </c>
      <c r="P52" s="32" t="n">
        <f aca="false">맥본_원가표!AD87</f>
        <v>600</v>
      </c>
      <c r="Q52" s="32" t="n">
        <f aca="false">맥본_원가표!AE87</f>
        <v>300</v>
      </c>
      <c r="R52" s="32" t="n">
        <f aca="false">맥본_원가표!AF87</f>
        <v>150</v>
      </c>
      <c r="S52" s="32" t="n">
        <f aca="false">맥본_원가표!AG87</f>
        <v>50</v>
      </c>
      <c r="T52" s="32" t="n">
        <f aca="false">맥본_원가표!AH87</f>
        <v>100</v>
      </c>
      <c r="U52" s="32" t="n">
        <f aca="false">맥본_원가표!AI87</f>
        <v>200</v>
      </c>
    </row>
    <row r="53" customFormat="false" ht="15" hidden="false" customHeight="false" outlineLevel="0" collapsed="false">
      <c r="A53" s="27"/>
      <c r="B53" s="27"/>
      <c r="C53" s="27"/>
      <c r="D53" s="19" t="n">
        <f aca="false">맥본_원가표!J88</f>
        <v>100</v>
      </c>
      <c r="E53" s="20" t="n">
        <f aca="false">맥본_원가표!P88</f>
        <v>1000</v>
      </c>
      <c r="F53" s="21" t="n">
        <f aca="false">맥본_원가표!I87</f>
        <v>4000</v>
      </c>
      <c r="G53" s="21" t="n">
        <f aca="false">맥본_원가표!O88</f>
        <v>748.3</v>
      </c>
      <c r="H53" s="21" t="n">
        <f aca="false">맥본_원가표!Q88</f>
        <v>1800</v>
      </c>
      <c r="I53" s="22" t="n">
        <f aca="false">맥본_원가표!R88</f>
        <v>0.584277777777778</v>
      </c>
      <c r="J53" s="21" t="n">
        <f aca="false">맥본_원가표!W88</f>
        <v>18000</v>
      </c>
      <c r="K53" s="21" t="n">
        <f aca="false">맥본_원가표!X88</f>
        <v>16200</v>
      </c>
      <c r="L53" s="21" t="n">
        <f aca="false">맥본_원가표!Y88</f>
        <v>15300</v>
      </c>
      <c r="M53" s="21" t="n">
        <f aca="false">맥본_원가표!Z88</f>
        <v>14400</v>
      </c>
      <c r="N53" s="21" t="n">
        <f aca="false">맥본_원가표!AA88</f>
        <v>1440</v>
      </c>
      <c r="O53" s="19" t="str">
        <f aca="false">맥본_원가표!AC88</f>
        <v>용기별도</v>
      </c>
      <c r="P53" s="21" t="n">
        <f aca="false">맥본_원가표!AD88</f>
        <v>600</v>
      </c>
      <c r="Q53" s="21" t="n">
        <f aca="false">맥본_원가표!AE88</f>
        <v>300</v>
      </c>
      <c r="R53" s="21" t="n">
        <f aca="false">맥본_원가표!AF88</f>
        <v>150</v>
      </c>
      <c r="S53" s="21" t="n">
        <f aca="false">맥본_원가표!AG88</f>
        <v>50</v>
      </c>
      <c r="T53" s="21" t="n">
        <f aca="false">맥본_원가표!AH88</f>
        <v>100</v>
      </c>
      <c r="U53" s="21" t="n">
        <f aca="false">맥본_원가표!AI88</f>
        <v>200</v>
      </c>
    </row>
    <row r="54" customFormat="false" ht="15" hidden="false" customHeight="false" outlineLevel="0" collapsed="false">
      <c r="A54" s="27"/>
      <c r="B54" s="28"/>
      <c r="C54" s="28"/>
      <c r="D54" s="19" t="n">
        <f aca="false">맥본_원가표!J89</f>
        <v>150</v>
      </c>
      <c r="E54" s="20" t="n">
        <f aca="false">맥본_원가표!P89</f>
        <v>1000</v>
      </c>
      <c r="F54" s="21" t="n">
        <f aca="false">맥본_원가표!I87</f>
        <v>4000</v>
      </c>
      <c r="G54" s="21" t="n">
        <f aca="false">맥본_원가표!O89</f>
        <v>990.3</v>
      </c>
      <c r="H54" s="21" t="n">
        <f aca="false">맥본_원가표!Q89</f>
        <v>2400</v>
      </c>
      <c r="I54" s="22" t="n">
        <f aca="false">맥본_원가표!R89</f>
        <v>0.587375</v>
      </c>
      <c r="J54" s="21" t="n">
        <f aca="false">맥본_원가표!W89</f>
        <v>16000</v>
      </c>
      <c r="K54" s="21" t="n">
        <f aca="false">맥본_원가표!X89</f>
        <v>14400</v>
      </c>
      <c r="L54" s="21" t="n">
        <f aca="false">맥본_원가표!Y89</f>
        <v>13600</v>
      </c>
      <c r="M54" s="21" t="n">
        <f aca="false">맥본_원가표!Z89</f>
        <v>12800</v>
      </c>
      <c r="N54" s="21" t="n">
        <f aca="false">맥본_원가표!AA89</f>
        <v>1920</v>
      </c>
      <c r="O54" s="19" t="str">
        <f aca="false">맥본_원가표!AC89</f>
        <v>용기별도</v>
      </c>
      <c r="P54" s="21" t="n">
        <f aca="false">맥본_원가표!AD89</f>
        <v>600</v>
      </c>
      <c r="Q54" s="21" t="n">
        <f aca="false">맥본_원가표!AE89</f>
        <v>300</v>
      </c>
      <c r="R54" s="21" t="n">
        <f aca="false">맥본_원가표!AF89</f>
        <v>150</v>
      </c>
      <c r="S54" s="21" t="n">
        <f aca="false">맥본_원가표!AG89</f>
        <v>50</v>
      </c>
      <c r="T54" s="21" t="n">
        <f aca="false">맥본_원가표!AH89</f>
        <v>100</v>
      </c>
      <c r="U54" s="21" t="n">
        <f aca="false">맥본_원가표!AI89</f>
        <v>200</v>
      </c>
    </row>
    <row r="55" customFormat="false" ht="15" hidden="false" customHeight="true" outlineLevel="0" collapsed="false">
      <c r="A55" s="27"/>
      <c r="B55" s="23" t="s">
        <v>50</v>
      </c>
      <c r="C55" s="24" t="s">
        <v>51</v>
      </c>
      <c r="D55" s="14" t="n">
        <f aca="false">맥본_원가표!J90</f>
        <v>5</v>
      </c>
      <c r="E55" s="15" t="n">
        <f aca="false">맥본_원가표!P90</f>
        <v>1000</v>
      </c>
      <c r="F55" s="16" t="n">
        <f aca="false">맥본_원가표!I90</f>
        <v>2000</v>
      </c>
      <c r="G55" s="16" t="n">
        <f aca="false">맥본_원가표!O90</f>
        <v>276.4</v>
      </c>
      <c r="H55" s="16" t="n">
        <f aca="false">맥본_원가표!Q90</f>
        <v>1100</v>
      </c>
      <c r="I55" s="17" t="n">
        <f aca="false">맥본_원가표!R90</f>
        <v>0.748727272727273</v>
      </c>
      <c r="J55" s="16" t="n">
        <f aca="false">맥본_원가표!W90</f>
        <v>220000</v>
      </c>
      <c r="K55" s="16" t="n">
        <f aca="false">맥본_원가표!X90</f>
        <v>198000</v>
      </c>
      <c r="L55" s="16" t="n">
        <f aca="false">맥본_원가표!Y90</f>
        <v>187000</v>
      </c>
      <c r="M55" s="16" t="n">
        <f aca="false">맥본_원가표!Z90</f>
        <v>176000</v>
      </c>
      <c r="N55" s="16" t="n">
        <f aca="false">맥본_원가표!AA90</f>
        <v>880</v>
      </c>
      <c r="O55" s="14" t="str">
        <f aca="false">맥본_원가표!AC90</f>
        <v>용기별도</v>
      </c>
      <c r="P55" s="16" t="n">
        <f aca="false">맥본_원가표!AD90</f>
        <v>200</v>
      </c>
      <c r="Q55" s="16" t="n">
        <f aca="false">맥본_원가표!AE90</f>
        <v>300</v>
      </c>
      <c r="R55" s="16" t="n">
        <f aca="false">맥본_원가표!AF90</f>
        <v>150</v>
      </c>
      <c r="S55" s="16" t="n">
        <f aca="false">맥본_원가표!AG90</f>
        <v>50</v>
      </c>
      <c r="T55" s="16" t="n">
        <f aca="false">맥본_원가표!AH90</f>
        <v>100</v>
      </c>
      <c r="U55" s="16" t="n">
        <f aca="false">맥본_원가표!AI90</f>
        <v>200</v>
      </c>
    </row>
    <row r="56" customFormat="false" ht="15" hidden="false" customHeight="false" outlineLevel="0" collapsed="false">
      <c r="A56" s="27"/>
      <c r="B56" s="27"/>
      <c r="C56" s="27"/>
      <c r="D56" s="14" t="n">
        <f aca="false">맥본_원가표!J91</f>
        <v>10</v>
      </c>
      <c r="E56" s="15" t="n">
        <f aca="false">맥본_원가표!P91</f>
        <v>1000</v>
      </c>
      <c r="F56" s="16" t="n">
        <f aca="false">맥본_원가표!I90</f>
        <v>2000</v>
      </c>
      <c r="G56" s="16" t="n">
        <f aca="false">맥본_원가표!O91</f>
        <v>288.5</v>
      </c>
      <c r="H56" s="16" t="n">
        <f aca="false">맥본_원가표!Q91</f>
        <v>1300</v>
      </c>
      <c r="I56" s="17" t="n">
        <f aca="false">맥본_원가표!R91</f>
        <v>0.778076923076923</v>
      </c>
      <c r="J56" s="16" t="n">
        <f aca="false">맥본_원가표!W91</f>
        <v>130000</v>
      </c>
      <c r="K56" s="16" t="n">
        <f aca="false">맥본_원가표!X91</f>
        <v>117000</v>
      </c>
      <c r="L56" s="16" t="n">
        <f aca="false">맥본_원가표!Y91</f>
        <v>110500</v>
      </c>
      <c r="M56" s="16" t="n">
        <f aca="false">맥본_원가표!Z91</f>
        <v>104000</v>
      </c>
      <c r="N56" s="16" t="n">
        <f aca="false">맥본_원가표!AA91</f>
        <v>1040</v>
      </c>
      <c r="O56" s="14" t="str">
        <f aca="false">맥본_원가표!AC91</f>
        <v>용기별도</v>
      </c>
      <c r="P56" s="16" t="n">
        <f aca="false">맥본_원가표!AD91</f>
        <v>200</v>
      </c>
      <c r="Q56" s="16" t="n">
        <f aca="false">맥본_원가표!AE91</f>
        <v>300</v>
      </c>
      <c r="R56" s="16" t="n">
        <f aca="false">맥본_원가표!AF91</f>
        <v>150</v>
      </c>
      <c r="S56" s="16" t="n">
        <f aca="false">맥본_원가표!AG91</f>
        <v>50</v>
      </c>
      <c r="T56" s="16" t="n">
        <f aca="false">맥본_원가표!AH91</f>
        <v>100</v>
      </c>
      <c r="U56" s="16" t="n">
        <f aca="false">맥본_원가표!AI91</f>
        <v>200</v>
      </c>
    </row>
    <row r="57" customFormat="false" ht="15" hidden="false" customHeight="false" outlineLevel="0" collapsed="false">
      <c r="A57" s="27"/>
      <c r="B57" s="27"/>
      <c r="C57" s="24"/>
      <c r="D57" s="14" t="n">
        <f aca="false">맥본_원가표!J92</f>
        <v>15</v>
      </c>
      <c r="E57" s="15" t="n">
        <f aca="false">맥본_원가표!P92</f>
        <v>1000</v>
      </c>
      <c r="F57" s="16" t="n">
        <f aca="false">맥본_원가표!I90</f>
        <v>2000</v>
      </c>
      <c r="G57" s="16" t="n">
        <f aca="false">맥본_원가표!O92</f>
        <v>300.6</v>
      </c>
      <c r="H57" s="16" t="n">
        <f aca="false">맥본_원가표!Q92</f>
        <v>1500</v>
      </c>
      <c r="I57" s="17" t="n">
        <f aca="false">맥본_원가표!R92</f>
        <v>0.7996</v>
      </c>
      <c r="J57" s="16" t="n">
        <f aca="false">맥본_원가표!W92</f>
        <v>100000</v>
      </c>
      <c r="K57" s="16" t="n">
        <f aca="false">맥본_원가표!X92</f>
        <v>90000</v>
      </c>
      <c r="L57" s="16" t="n">
        <f aca="false">맥본_원가표!Y92</f>
        <v>85000</v>
      </c>
      <c r="M57" s="16" t="n">
        <f aca="false">맥본_원가표!Z92</f>
        <v>80000</v>
      </c>
      <c r="N57" s="16" t="n">
        <f aca="false">맥본_원가표!AA92</f>
        <v>1200</v>
      </c>
      <c r="O57" s="14" t="str">
        <f aca="false">맥본_원가표!AC92</f>
        <v>용기별도</v>
      </c>
      <c r="P57" s="16" t="n">
        <f aca="false">맥본_원가표!AD92</f>
        <v>200</v>
      </c>
      <c r="Q57" s="16" t="n">
        <f aca="false">맥본_원가표!AE92</f>
        <v>300</v>
      </c>
      <c r="R57" s="16" t="n">
        <f aca="false">맥본_원가표!AF92</f>
        <v>150</v>
      </c>
      <c r="S57" s="16" t="n">
        <f aca="false">맥본_원가표!AG92</f>
        <v>50</v>
      </c>
      <c r="T57" s="16" t="n">
        <f aca="false">맥본_원가표!AH92</f>
        <v>100</v>
      </c>
      <c r="U57" s="16" t="n">
        <f aca="false">맥본_원가표!AI92</f>
        <v>200</v>
      </c>
    </row>
    <row r="58" customFormat="false" ht="15" hidden="false" customHeight="true" outlineLevel="0" collapsed="false">
      <c r="A58" s="27"/>
      <c r="B58" s="27"/>
      <c r="C58" s="18" t="s">
        <v>52</v>
      </c>
      <c r="D58" s="19" t="n">
        <f aca="false">맥본_원가표!J93</f>
        <v>5</v>
      </c>
      <c r="E58" s="20" t="n">
        <f aca="false">맥본_원가표!P93</f>
        <v>1000</v>
      </c>
      <c r="F58" s="21" t="n">
        <f aca="false">맥본_원가표!I93</f>
        <v>4000</v>
      </c>
      <c r="G58" s="21" t="n">
        <f aca="false">맥본_원가표!O93</f>
        <v>288.5</v>
      </c>
      <c r="H58" s="21" t="n">
        <f aca="false">맥본_원가표!Q93</f>
        <v>1200</v>
      </c>
      <c r="I58" s="22" t="n">
        <f aca="false">맥본_원가표!R93</f>
        <v>0.759583333333333</v>
      </c>
      <c r="J58" s="21" t="n">
        <f aca="false">맥본_원가표!W93</f>
        <v>240000</v>
      </c>
      <c r="K58" s="21" t="n">
        <f aca="false">맥본_원가표!X93</f>
        <v>216000</v>
      </c>
      <c r="L58" s="21" t="n">
        <f aca="false">맥본_원가표!Y93</f>
        <v>204000</v>
      </c>
      <c r="M58" s="21" t="n">
        <f aca="false">맥본_원가표!Z93</f>
        <v>192000</v>
      </c>
      <c r="N58" s="21" t="n">
        <f aca="false">맥본_원가표!AA93</f>
        <v>960</v>
      </c>
      <c r="O58" s="19" t="str">
        <f aca="false">맥본_원가표!AC93</f>
        <v>용기별도</v>
      </c>
      <c r="P58" s="21" t="n">
        <f aca="false">맥본_원가표!AD93</f>
        <v>200</v>
      </c>
      <c r="Q58" s="21" t="n">
        <f aca="false">맥본_원가표!AE93</f>
        <v>300</v>
      </c>
      <c r="R58" s="21" t="n">
        <f aca="false">맥본_원가표!AF93</f>
        <v>150</v>
      </c>
      <c r="S58" s="21" t="n">
        <f aca="false">맥본_원가표!AG93</f>
        <v>50</v>
      </c>
      <c r="T58" s="21" t="n">
        <f aca="false">맥본_원가표!AH93</f>
        <v>100</v>
      </c>
      <c r="U58" s="21" t="n">
        <f aca="false">맥본_원가표!AI93</f>
        <v>200</v>
      </c>
    </row>
    <row r="59" customFormat="false" ht="15" hidden="false" customHeight="false" outlineLevel="0" collapsed="false">
      <c r="A59" s="27"/>
      <c r="B59" s="27"/>
      <c r="C59" s="27"/>
      <c r="D59" s="19" t="n">
        <f aca="false">맥본_원가표!J94</f>
        <v>10</v>
      </c>
      <c r="E59" s="20" t="n">
        <f aca="false">맥본_원가표!P94</f>
        <v>1000</v>
      </c>
      <c r="F59" s="21" t="n">
        <f aca="false">맥본_원가표!I93</f>
        <v>4000</v>
      </c>
      <c r="G59" s="21" t="n">
        <f aca="false">맥본_원가표!O94</f>
        <v>312.7</v>
      </c>
      <c r="H59" s="21" t="n">
        <f aca="false">맥본_원가표!Q94</f>
        <v>1800</v>
      </c>
      <c r="I59" s="22" t="n">
        <f aca="false">맥본_원가표!R94</f>
        <v>0.826277777777778</v>
      </c>
      <c r="J59" s="21" t="n">
        <f aca="false">맥본_원가표!W94</f>
        <v>180000</v>
      </c>
      <c r="K59" s="21" t="n">
        <f aca="false">맥본_원가표!X94</f>
        <v>162000</v>
      </c>
      <c r="L59" s="21" t="n">
        <f aca="false">맥본_원가표!Y94</f>
        <v>153000</v>
      </c>
      <c r="M59" s="21" t="n">
        <f aca="false">맥본_원가표!Z94</f>
        <v>144000</v>
      </c>
      <c r="N59" s="21" t="n">
        <f aca="false">맥본_원가표!AA94</f>
        <v>1440</v>
      </c>
      <c r="O59" s="19" t="str">
        <f aca="false">맥본_원가표!AC94</f>
        <v>용기별도</v>
      </c>
      <c r="P59" s="21" t="n">
        <f aca="false">맥본_원가표!AD94</f>
        <v>200</v>
      </c>
      <c r="Q59" s="21" t="n">
        <f aca="false">맥본_원가표!AE94</f>
        <v>300</v>
      </c>
      <c r="R59" s="21" t="n">
        <f aca="false">맥본_원가표!AF94</f>
        <v>150</v>
      </c>
      <c r="S59" s="21" t="n">
        <f aca="false">맥본_원가표!AG94</f>
        <v>50</v>
      </c>
      <c r="T59" s="21" t="n">
        <f aca="false">맥본_원가표!AH94</f>
        <v>100</v>
      </c>
      <c r="U59" s="21" t="n">
        <f aca="false">맥본_원가표!AI94</f>
        <v>200</v>
      </c>
    </row>
    <row r="60" customFormat="false" ht="15" hidden="false" customHeight="false" outlineLevel="0" collapsed="false">
      <c r="A60" s="27"/>
      <c r="B60" s="27"/>
      <c r="C60" s="27"/>
      <c r="D60" s="19" t="n">
        <f aca="false">맥본_원가표!J95</f>
        <v>15</v>
      </c>
      <c r="E60" s="20" t="n">
        <f aca="false">맥본_원가표!P95</f>
        <v>1000</v>
      </c>
      <c r="F60" s="21" t="n">
        <f aca="false">맥본_원가표!I93</f>
        <v>4000</v>
      </c>
      <c r="G60" s="21" t="n">
        <f aca="false">맥본_원가표!O95</f>
        <v>336.9</v>
      </c>
      <c r="H60" s="21" t="n">
        <f aca="false">맥본_원가표!Q95</f>
        <v>2400</v>
      </c>
      <c r="I60" s="22" t="n">
        <f aca="false">맥본_원가표!R95</f>
        <v>0.859625</v>
      </c>
      <c r="J60" s="21" t="n">
        <f aca="false">맥본_원가표!W95</f>
        <v>160000</v>
      </c>
      <c r="K60" s="21" t="n">
        <f aca="false">맥본_원가표!X95</f>
        <v>144000</v>
      </c>
      <c r="L60" s="21" t="n">
        <f aca="false">맥본_원가표!Y95</f>
        <v>136000</v>
      </c>
      <c r="M60" s="21" t="n">
        <f aca="false">맥본_원가표!Z95</f>
        <v>128000</v>
      </c>
      <c r="N60" s="21" t="n">
        <f aca="false">맥본_원가표!AA95</f>
        <v>1920</v>
      </c>
      <c r="O60" s="19" t="str">
        <f aca="false">맥본_원가표!AC95</f>
        <v>용기별도</v>
      </c>
      <c r="P60" s="21" t="n">
        <f aca="false">맥본_원가표!AD95</f>
        <v>200</v>
      </c>
      <c r="Q60" s="21" t="n">
        <f aca="false">맥본_원가표!AE95</f>
        <v>300</v>
      </c>
      <c r="R60" s="21" t="n">
        <f aca="false">맥본_원가표!AF95</f>
        <v>150</v>
      </c>
      <c r="S60" s="21" t="n">
        <f aca="false">맥본_원가표!AG95</f>
        <v>50</v>
      </c>
      <c r="T60" s="21" t="n">
        <f aca="false">맥본_원가표!AH95</f>
        <v>100</v>
      </c>
      <c r="U60" s="21" t="n">
        <f aca="false">맥본_원가표!AI95</f>
        <v>200</v>
      </c>
    </row>
    <row r="61" customFormat="false" ht="15" hidden="false" customHeight="false" outlineLevel="0" collapsed="false">
      <c r="A61" s="27"/>
      <c r="B61" s="27"/>
      <c r="C61" s="27"/>
      <c r="D61" s="19" t="n">
        <f aca="false">맥본_원가표!J96</f>
        <v>20</v>
      </c>
      <c r="E61" s="20" t="n">
        <f aca="false">맥본_원가표!P96</f>
        <v>1000</v>
      </c>
      <c r="F61" s="21" t="n">
        <f aca="false">맥본_원가표!I93</f>
        <v>4000</v>
      </c>
      <c r="G61" s="21" t="n">
        <f aca="false">맥본_원가표!O96</f>
        <v>361.1</v>
      </c>
      <c r="H61" s="21" t="n">
        <f aca="false">맥본_원가표!Q96</f>
        <v>3000</v>
      </c>
      <c r="I61" s="22" t="n">
        <f aca="false">맥본_원가표!R96</f>
        <v>0.879633333333333</v>
      </c>
      <c r="J61" s="21" t="n">
        <f aca="false">맥본_원가표!W96</f>
        <v>150000</v>
      </c>
      <c r="K61" s="21" t="n">
        <f aca="false">맥본_원가표!X96</f>
        <v>135000</v>
      </c>
      <c r="L61" s="21" t="n">
        <f aca="false">맥본_원가표!Y96</f>
        <v>127500</v>
      </c>
      <c r="M61" s="21" t="n">
        <f aca="false">맥본_원가표!Z96</f>
        <v>120000</v>
      </c>
      <c r="N61" s="21" t="n">
        <f aca="false">맥본_원가표!AA96</f>
        <v>2400</v>
      </c>
      <c r="O61" s="19" t="str">
        <f aca="false">맥본_원가표!AC96</f>
        <v>용기별도</v>
      </c>
      <c r="P61" s="21" t="n">
        <f aca="false">맥본_원가표!AD96</f>
        <v>200</v>
      </c>
      <c r="Q61" s="21" t="n">
        <f aca="false">맥본_원가표!AE96</f>
        <v>300</v>
      </c>
      <c r="R61" s="21" t="n">
        <f aca="false">맥본_원가표!AF96</f>
        <v>150</v>
      </c>
      <c r="S61" s="21" t="n">
        <f aca="false">맥본_원가표!AG96</f>
        <v>50</v>
      </c>
      <c r="T61" s="21" t="n">
        <f aca="false">맥본_원가표!AH96</f>
        <v>100</v>
      </c>
      <c r="U61" s="21" t="n">
        <f aca="false">맥본_원가표!AI96</f>
        <v>200</v>
      </c>
    </row>
    <row r="62" customFormat="false" ht="15" hidden="false" customHeight="false" outlineLevel="0" collapsed="false">
      <c r="A62" s="27"/>
      <c r="B62" s="23"/>
      <c r="C62" s="23"/>
      <c r="D62" s="19" t="n">
        <f aca="false">맥본_원가표!J97</f>
        <v>30</v>
      </c>
      <c r="E62" s="20" t="n">
        <f aca="false">맥본_원가표!P97</f>
        <v>1000</v>
      </c>
      <c r="F62" s="21" t="n">
        <f aca="false">맥본_원가표!I93</f>
        <v>4000</v>
      </c>
      <c r="G62" s="21" t="n">
        <f aca="false">맥본_원가표!O97</f>
        <v>409.5</v>
      </c>
      <c r="H62" s="21" t="n">
        <f aca="false">맥본_원가표!Q97</f>
        <v>4000</v>
      </c>
      <c r="I62" s="22" t="n">
        <f aca="false">맥본_원가표!R97</f>
        <v>0.897625</v>
      </c>
      <c r="J62" s="21" t="n">
        <f aca="false">맥본_원가표!W97</f>
        <v>133333.333333333</v>
      </c>
      <c r="K62" s="21" t="n">
        <f aca="false">맥본_원가표!X97</f>
        <v>120000</v>
      </c>
      <c r="L62" s="21" t="n">
        <f aca="false">맥본_원가표!Y97</f>
        <v>113333.333333333</v>
      </c>
      <c r="M62" s="21" t="n">
        <f aca="false">맥본_원가표!Z97</f>
        <v>106666.666666667</v>
      </c>
      <c r="N62" s="21" t="n">
        <f aca="false">맥본_원가표!AA97</f>
        <v>3200</v>
      </c>
      <c r="O62" s="19" t="str">
        <f aca="false">맥본_원가표!AC97</f>
        <v>용기별도</v>
      </c>
      <c r="P62" s="21" t="n">
        <f aca="false">맥본_원가표!AD97</f>
        <v>200</v>
      </c>
      <c r="Q62" s="21" t="n">
        <f aca="false">맥본_원가표!AE97</f>
        <v>300</v>
      </c>
      <c r="R62" s="21" t="n">
        <f aca="false">맥본_원가표!AF97</f>
        <v>150</v>
      </c>
      <c r="S62" s="21" t="n">
        <f aca="false">맥본_원가표!AG97</f>
        <v>50</v>
      </c>
      <c r="T62" s="21" t="n">
        <f aca="false">맥본_원가표!AH97</f>
        <v>100</v>
      </c>
      <c r="U62" s="21" t="n">
        <f aca="false">맥본_원가표!AI97</f>
        <v>200</v>
      </c>
    </row>
    <row r="63" customFormat="false" ht="15" hidden="false" customHeight="true" outlineLevel="0" collapsed="false">
      <c r="A63" s="27"/>
      <c r="B63" s="23" t="s">
        <v>53</v>
      </c>
      <c r="C63" s="24" t="s">
        <v>54</v>
      </c>
      <c r="D63" s="14" t="n">
        <f aca="false">맥본_원가표!J98</f>
        <v>5</v>
      </c>
      <c r="E63" s="15" t="n">
        <f aca="false">맥본_원가표!P98</f>
        <v>1000</v>
      </c>
      <c r="F63" s="16" t="n">
        <f aca="false">맥본_원가표!I98</f>
        <v>4000</v>
      </c>
      <c r="G63" s="16" t="n">
        <f aca="false">맥본_원가표!O98</f>
        <v>288.5</v>
      </c>
      <c r="H63" s="16" t="n">
        <f aca="false">맥본_원가표!Q98</f>
        <v>1200</v>
      </c>
      <c r="I63" s="17" t="n">
        <f aca="false">맥본_원가표!R98</f>
        <v>0.759583333333333</v>
      </c>
      <c r="J63" s="16" t="n">
        <f aca="false">맥본_원가표!W98</f>
        <v>240000</v>
      </c>
      <c r="K63" s="16" t="n">
        <f aca="false">맥본_원가표!X98</f>
        <v>216000</v>
      </c>
      <c r="L63" s="16" t="n">
        <f aca="false">맥본_원가표!Y98</f>
        <v>204000</v>
      </c>
      <c r="M63" s="16" t="n">
        <f aca="false">맥본_원가표!Z98</f>
        <v>192000</v>
      </c>
      <c r="N63" s="16" t="n">
        <f aca="false">맥본_원가표!AA98</f>
        <v>960</v>
      </c>
      <c r="O63" s="14" t="str">
        <f aca="false">맥본_원가표!AC98</f>
        <v>용기별도</v>
      </c>
      <c r="P63" s="16" t="n">
        <f aca="false">맥본_원가표!AD98</f>
        <v>200</v>
      </c>
      <c r="Q63" s="16" t="n">
        <f aca="false">맥본_원가표!AE98</f>
        <v>300</v>
      </c>
      <c r="R63" s="16" t="n">
        <f aca="false">맥본_원가표!AF98</f>
        <v>150</v>
      </c>
      <c r="S63" s="16" t="n">
        <f aca="false">맥본_원가표!AG98</f>
        <v>50</v>
      </c>
      <c r="T63" s="16" t="n">
        <f aca="false">맥본_원가표!AH98</f>
        <v>100</v>
      </c>
      <c r="U63" s="16" t="n">
        <f aca="false">맥본_원가표!AI98</f>
        <v>200</v>
      </c>
    </row>
    <row r="64" customFormat="false" ht="15" hidden="false" customHeight="false" outlineLevel="0" collapsed="false">
      <c r="A64" s="27"/>
      <c r="B64" s="27"/>
      <c r="C64" s="27"/>
      <c r="D64" s="14" t="n">
        <f aca="false">맥본_원가표!J99</f>
        <v>10</v>
      </c>
      <c r="E64" s="15" t="n">
        <f aca="false">맥본_원가표!P99</f>
        <v>1000</v>
      </c>
      <c r="F64" s="16" t="n">
        <f aca="false">맥본_원가표!I98</f>
        <v>4000</v>
      </c>
      <c r="G64" s="16" t="n">
        <f aca="false">맥본_원가표!O99</f>
        <v>312.7</v>
      </c>
      <c r="H64" s="16" t="n">
        <f aca="false">맥본_원가표!Q99</f>
        <v>1800</v>
      </c>
      <c r="I64" s="17" t="n">
        <f aca="false">맥본_원가표!R99</f>
        <v>0.826277777777778</v>
      </c>
      <c r="J64" s="16" t="n">
        <f aca="false">맥본_원가표!W99</f>
        <v>180000</v>
      </c>
      <c r="K64" s="16" t="n">
        <f aca="false">맥본_원가표!X99</f>
        <v>162000</v>
      </c>
      <c r="L64" s="16" t="n">
        <f aca="false">맥본_원가표!Y99</f>
        <v>153000</v>
      </c>
      <c r="M64" s="16" t="n">
        <f aca="false">맥본_원가표!Z99</f>
        <v>144000</v>
      </c>
      <c r="N64" s="16" t="n">
        <f aca="false">맥본_원가표!AA99</f>
        <v>1440</v>
      </c>
      <c r="O64" s="14" t="str">
        <f aca="false">맥본_원가표!AC99</f>
        <v>용기별도</v>
      </c>
      <c r="P64" s="16" t="n">
        <f aca="false">맥본_원가표!AD99</f>
        <v>200</v>
      </c>
      <c r="Q64" s="16" t="n">
        <f aca="false">맥본_원가표!AE99</f>
        <v>300</v>
      </c>
      <c r="R64" s="16" t="n">
        <f aca="false">맥본_원가표!AF99</f>
        <v>150</v>
      </c>
      <c r="S64" s="16" t="n">
        <f aca="false">맥본_원가표!AG99</f>
        <v>50</v>
      </c>
      <c r="T64" s="16" t="n">
        <f aca="false">맥본_원가표!AH99</f>
        <v>100</v>
      </c>
      <c r="U64" s="16" t="n">
        <f aca="false">맥본_원가표!AI99</f>
        <v>200</v>
      </c>
    </row>
    <row r="65" customFormat="false" ht="15" hidden="false" customHeight="false" outlineLevel="0" collapsed="false">
      <c r="A65" s="27"/>
      <c r="B65" s="27"/>
      <c r="C65" s="27"/>
      <c r="D65" s="14" t="n">
        <f aca="false">맥본_원가표!J100</f>
        <v>15</v>
      </c>
      <c r="E65" s="15" t="n">
        <f aca="false">맥본_원가표!P100</f>
        <v>1000</v>
      </c>
      <c r="F65" s="16" t="n">
        <f aca="false">맥본_원가표!I98</f>
        <v>4000</v>
      </c>
      <c r="G65" s="16" t="n">
        <f aca="false">맥본_원가표!O100</f>
        <v>336.9</v>
      </c>
      <c r="H65" s="16" t="n">
        <f aca="false">맥본_원가표!Q100</f>
        <v>2400</v>
      </c>
      <c r="I65" s="17" t="n">
        <f aca="false">맥본_원가표!R100</f>
        <v>0.859625</v>
      </c>
      <c r="J65" s="16" t="n">
        <f aca="false">맥본_원가표!W100</f>
        <v>160000</v>
      </c>
      <c r="K65" s="16" t="n">
        <f aca="false">맥본_원가표!X100</f>
        <v>144000</v>
      </c>
      <c r="L65" s="16" t="n">
        <f aca="false">맥본_원가표!Y100</f>
        <v>136000</v>
      </c>
      <c r="M65" s="16" t="n">
        <f aca="false">맥본_원가표!Z100</f>
        <v>128000</v>
      </c>
      <c r="N65" s="16" t="n">
        <f aca="false">맥본_원가표!AA100</f>
        <v>1920</v>
      </c>
      <c r="O65" s="14" t="str">
        <f aca="false">맥본_원가표!AC100</f>
        <v>용기별도</v>
      </c>
      <c r="P65" s="16" t="n">
        <f aca="false">맥본_원가표!AD100</f>
        <v>200</v>
      </c>
      <c r="Q65" s="16" t="n">
        <f aca="false">맥본_원가표!AE100</f>
        <v>300</v>
      </c>
      <c r="R65" s="16" t="n">
        <f aca="false">맥본_원가표!AF100</f>
        <v>150</v>
      </c>
      <c r="S65" s="16" t="n">
        <f aca="false">맥본_원가표!AG100</f>
        <v>50</v>
      </c>
      <c r="T65" s="16" t="n">
        <f aca="false">맥본_원가표!AH100</f>
        <v>100</v>
      </c>
      <c r="U65" s="16" t="n">
        <f aca="false">맥본_원가표!AI100</f>
        <v>200</v>
      </c>
    </row>
    <row r="66" customFormat="false" ht="15" hidden="false" customHeight="false" outlineLevel="0" collapsed="false">
      <c r="A66" s="27"/>
      <c r="B66" s="27"/>
      <c r="C66" s="27"/>
      <c r="D66" s="14" t="n">
        <f aca="false">맥본_원가표!J101</f>
        <v>20</v>
      </c>
      <c r="E66" s="15" t="n">
        <f aca="false">맥본_원가표!P101</f>
        <v>1000</v>
      </c>
      <c r="F66" s="16" t="n">
        <f aca="false">맥본_원가표!I98</f>
        <v>4000</v>
      </c>
      <c r="G66" s="16" t="n">
        <f aca="false">맥본_원가표!O101</f>
        <v>361.1</v>
      </c>
      <c r="H66" s="16" t="n">
        <f aca="false">맥본_원가표!Q101</f>
        <v>3000</v>
      </c>
      <c r="I66" s="17" t="n">
        <f aca="false">맥본_원가표!R101</f>
        <v>0.879633333333333</v>
      </c>
      <c r="J66" s="16" t="n">
        <f aca="false">맥본_원가표!W101</f>
        <v>150000</v>
      </c>
      <c r="K66" s="16" t="n">
        <f aca="false">맥본_원가표!X101</f>
        <v>135000</v>
      </c>
      <c r="L66" s="16" t="n">
        <f aca="false">맥본_원가표!Y101</f>
        <v>127500</v>
      </c>
      <c r="M66" s="16" t="n">
        <f aca="false">맥본_원가표!Z101</f>
        <v>120000</v>
      </c>
      <c r="N66" s="16" t="n">
        <f aca="false">맥본_원가표!AA101</f>
        <v>2400</v>
      </c>
      <c r="O66" s="14" t="str">
        <f aca="false">맥본_원가표!AC101</f>
        <v>용기별도</v>
      </c>
      <c r="P66" s="16" t="n">
        <f aca="false">맥본_원가표!AD101</f>
        <v>200</v>
      </c>
      <c r="Q66" s="16" t="n">
        <f aca="false">맥본_원가표!AE101</f>
        <v>300</v>
      </c>
      <c r="R66" s="16" t="n">
        <f aca="false">맥본_원가표!AF101</f>
        <v>150</v>
      </c>
      <c r="S66" s="16" t="n">
        <f aca="false">맥본_원가표!AG101</f>
        <v>50</v>
      </c>
      <c r="T66" s="16" t="n">
        <f aca="false">맥본_원가표!AH101</f>
        <v>100</v>
      </c>
      <c r="U66" s="16" t="n">
        <f aca="false">맥본_원가표!AI101</f>
        <v>200</v>
      </c>
    </row>
    <row r="67" customFormat="false" ht="15" hidden="false" customHeight="false" outlineLevel="0" collapsed="false">
      <c r="A67" s="27"/>
      <c r="B67" s="27"/>
      <c r="C67" s="27"/>
      <c r="D67" s="14" t="n">
        <f aca="false">맥본_원가표!J102</f>
        <v>30</v>
      </c>
      <c r="E67" s="15" t="n">
        <f aca="false">맥본_원가표!P102</f>
        <v>1000</v>
      </c>
      <c r="F67" s="16" t="n">
        <f aca="false">맥본_원가표!I98</f>
        <v>4000</v>
      </c>
      <c r="G67" s="16" t="n">
        <f aca="false">맥본_원가표!O102</f>
        <v>409.5</v>
      </c>
      <c r="H67" s="16" t="n">
        <f aca="false">맥본_원가표!Q102</f>
        <v>4000</v>
      </c>
      <c r="I67" s="17" t="n">
        <f aca="false">맥본_원가표!R102</f>
        <v>0.897625</v>
      </c>
      <c r="J67" s="16" t="n">
        <f aca="false">맥본_원가표!W102</f>
        <v>133333.333333333</v>
      </c>
      <c r="K67" s="16" t="n">
        <f aca="false">맥본_원가표!X102</f>
        <v>120000</v>
      </c>
      <c r="L67" s="16" t="n">
        <f aca="false">맥본_원가표!Y102</f>
        <v>113333.333333333</v>
      </c>
      <c r="M67" s="16" t="n">
        <f aca="false">맥본_원가표!Z102</f>
        <v>106666.666666667</v>
      </c>
      <c r="N67" s="16" t="n">
        <f aca="false">맥본_원가표!AA102</f>
        <v>3200</v>
      </c>
      <c r="O67" s="14" t="str">
        <f aca="false">맥본_원가표!AC102</f>
        <v>용기별도</v>
      </c>
      <c r="P67" s="16" t="n">
        <f aca="false">맥본_원가표!AD102</f>
        <v>200</v>
      </c>
      <c r="Q67" s="16" t="n">
        <f aca="false">맥본_원가표!AE102</f>
        <v>300</v>
      </c>
      <c r="R67" s="16" t="n">
        <f aca="false">맥본_원가표!AF102</f>
        <v>150</v>
      </c>
      <c r="S67" s="16" t="n">
        <f aca="false">맥본_원가표!AG102</f>
        <v>50</v>
      </c>
      <c r="T67" s="16" t="n">
        <f aca="false">맥본_원가표!AH102</f>
        <v>100</v>
      </c>
      <c r="U67" s="16" t="n">
        <f aca="false">맥본_원가표!AI102</f>
        <v>200</v>
      </c>
    </row>
    <row r="68" customFormat="false" ht="15" hidden="false" customHeight="true" outlineLevel="0" collapsed="false">
      <c r="A68" s="34" t="s">
        <v>55</v>
      </c>
      <c r="B68" s="28" t="s">
        <v>56</v>
      </c>
      <c r="C68" s="29" t="s">
        <v>57</v>
      </c>
      <c r="D68" s="30" t="n">
        <f aca="false">맥본_원가표!J112</f>
        <v>5</v>
      </c>
      <c r="E68" s="31" t="n">
        <f aca="false">맥본_원가표!P112</f>
        <v>1000</v>
      </c>
      <c r="F68" s="32" t="n">
        <f aca="false">맥본_원가표!I112</f>
        <v>19440</v>
      </c>
      <c r="G68" s="32" t="n">
        <f aca="false">맥본_원가표!O112</f>
        <v>381.912</v>
      </c>
      <c r="H68" s="32" t="n">
        <f aca="false">맥본_원가표!Q112</f>
        <v>1200</v>
      </c>
      <c r="I68" s="33" t="n">
        <f aca="false">맥본_원가표!R112</f>
        <v>0.68174</v>
      </c>
      <c r="J68" s="32" t="n">
        <f aca="false">맥본_원가표!W112</f>
        <v>240000</v>
      </c>
      <c r="K68" s="32" t="n">
        <f aca="false">맥본_원가표!X112</f>
        <v>216000</v>
      </c>
      <c r="L68" s="32" t="n">
        <f aca="false">맥본_원가표!Y112</f>
        <v>204000</v>
      </c>
      <c r="M68" s="32" t="n">
        <f aca="false">맥본_원가표!Z112</f>
        <v>192000</v>
      </c>
      <c r="N68" s="32" t="n">
        <f aca="false">맥본_원가표!AA112</f>
        <v>960</v>
      </c>
      <c r="O68" s="30" t="str">
        <f aca="false">맥본_원가표!AC112</f>
        <v>용기별도</v>
      </c>
      <c r="P68" s="32" t="n">
        <f aca="false">맥본_원가표!AD112</f>
        <v>550</v>
      </c>
      <c r="Q68" s="32" t="n">
        <f aca="false">맥본_원가표!AE112</f>
        <v>300</v>
      </c>
      <c r="R68" s="32" t="n">
        <f aca="false">맥본_원가표!AF112</f>
        <v>150</v>
      </c>
      <c r="S68" s="32" t="n">
        <f aca="false">맥본_원가표!AG112</f>
        <v>50</v>
      </c>
      <c r="T68" s="32" t="n">
        <f aca="false">맥본_원가표!AH112</f>
        <v>100</v>
      </c>
      <c r="U68" s="32" t="n">
        <f aca="false">맥본_원가표!AI112</f>
        <v>200</v>
      </c>
    </row>
    <row r="69" customFormat="false" ht="15" hidden="false" customHeight="false" outlineLevel="0" collapsed="false">
      <c r="A69" s="34"/>
      <c r="B69" s="34"/>
      <c r="C69" s="29"/>
      <c r="D69" s="19" t="n">
        <f aca="false">맥본_원가표!J113</f>
        <v>10</v>
      </c>
      <c r="E69" s="20" t="n">
        <f aca="false">맥본_원가표!P113</f>
        <v>1000</v>
      </c>
      <c r="F69" s="21" t="n">
        <f aca="false">맥본_원가표!I112</f>
        <v>19440</v>
      </c>
      <c r="G69" s="21" t="n">
        <f aca="false">맥본_원가표!O113</f>
        <v>499.524</v>
      </c>
      <c r="H69" s="21" t="n">
        <f aca="false">맥본_원가표!Q113</f>
        <v>1500</v>
      </c>
      <c r="I69" s="22" t="n">
        <f aca="false">맥본_원가표!R113</f>
        <v>0.666984</v>
      </c>
      <c r="J69" s="21" t="n">
        <f aca="false">맥본_원가표!W113</f>
        <v>150000</v>
      </c>
      <c r="K69" s="21" t="n">
        <f aca="false">맥본_원가표!X113</f>
        <v>135000</v>
      </c>
      <c r="L69" s="21" t="n">
        <f aca="false">맥본_원가표!Y113</f>
        <v>127500</v>
      </c>
      <c r="M69" s="21" t="n">
        <f aca="false">맥본_원가표!Z113</f>
        <v>120000</v>
      </c>
      <c r="N69" s="21" t="n">
        <f aca="false">맥본_원가표!AA113</f>
        <v>1200</v>
      </c>
      <c r="O69" s="19" t="str">
        <f aca="false">맥본_원가표!AC113</f>
        <v>용기별도</v>
      </c>
      <c r="P69" s="21" t="n">
        <f aca="false">맥본_원가표!AD113</f>
        <v>600</v>
      </c>
      <c r="Q69" s="21" t="n">
        <f aca="false">맥본_원가표!AE113</f>
        <v>300</v>
      </c>
      <c r="R69" s="21" t="n">
        <f aca="false">맥본_원가표!AF113</f>
        <v>150</v>
      </c>
      <c r="S69" s="21" t="n">
        <f aca="false">맥본_원가표!AG113</f>
        <v>50</v>
      </c>
      <c r="T69" s="21" t="n">
        <f aca="false">맥본_원가표!AH113</f>
        <v>100</v>
      </c>
      <c r="U69" s="21" t="n">
        <f aca="false">맥본_원가표!AI113</f>
        <v>200</v>
      </c>
    </row>
    <row r="70" customFormat="false" ht="15" hidden="false" customHeight="true" outlineLevel="0" collapsed="false">
      <c r="A70" s="34"/>
      <c r="B70" s="34"/>
      <c r="C70" s="24" t="s">
        <v>58</v>
      </c>
      <c r="D70" s="14" t="n">
        <f aca="false">맥본_원가표!J114</f>
        <v>5</v>
      </c>
      <c r="E70" s="15" t="n">
        <f aca="false">맥본_원가표!P114</f>
        <v>1000</v>
      </c>
      <c r="F70" s="16" t="n">
        <f aca="false">맥본_원가표!I114</f>
        <v>20502</v>
      </c>
      <c r="G70" s="16" t="n">
        <f aca="false">맥본_원가표!O114</f>
        <v>388.3371</v>
      </c>
      <c r="H70" s="16" t="n">
        <f aca="false">맥본_원가표!Q114</f>
        <v>1000</v>
      </c>
      <c r="I70" s="17" t="n">
        <f aca="false">맥본_원가표!R114</f>
        <v>0.6116629</v>
      </c>
      <c r="J70" s="16" t="n">
        <f aca="false">맥본_원가표!W114</f>
        <v>200000</v>
      </c>
      <c r="K70" s="16" t="n">
        <f aca="false">맥본_원가표!X114</f>
        <v>180000</v>
      </c>
      <c r="L70" s="16" t="n">
        <f aca="false">맥본_원가표!Y114</f>
        <v>170000</v>
      </c>
      <c r="M70" s="16" t="n">
        <f aca="false">맥본_원가표!Z114</f>
        <v>160000</v>
      </c>
      <c r="N70" s="16" t="n">
        <f aca="false">맥본_원가표!AA114</f>
        <v>800</v>
      </c>
      <c r="O70" s="14" t="str">
        <f aca="false">맥본_원가표!AC114</f>
        <v>용기별도</v>
      </c>
      <c r="P70" s="16" t="n">
        <f aca="false">맥본_원가표!AD114</f>
        <v>550</v>
      </c>
      <c r="Q70" s="16" t="n">
        <f aca="false">맥본_원가표!AE114</f>
        <v>300</v>
      </c>
      <c r="R70" s="16" t="n">
        <f aca="false">맥본_원가표!AF114</f>
        <v>150</v>
      </c>
      <c r="S70" s="16" t="n">
        <f aca="false">맥본_원가표!AG114</f>
        <v>50</v>
      </c>
      <c r="T70" s="16" t="n">
        <f aca="false">맥본_원가표!AH114</f>
        <v>100</v>
      </c>
      <c r="U70" s="16" t="n">
        <f aca="false">맥본_원가표!AI114</f>
        <v>200</v>
      </c>
    </row>
    <row r="71" customFormat="false" ht="15" hidden="false" customHeight="false" outlineLevel="0" collapsed="false">
      <c r="A71" s="34"/>
      <c r="B71" s="28"/>
      <c r="C71" s="28"/>
      <c r="D71" s="14" t="n">
        <f aca="false">맥본_원가표!J115</f>
        <v>10</v>
      </c>
      <c r="E71" s="15" t="n">
        <f aca="false">맥본_원가표!P115</f>
        <v>1000</v>
      </c>
      <c r="F71" s="16" t="n">
        <f aca="false">맥본_원가표!I114</f>
        <v>20502</v>
      </c>
      <c r="G71" s="16" t="n">
        <f aca="false">맥본_원가표!O115</f>
        <v>512.3742</v>
      </c>
      <c r="H71" s="16" t="n">
        <f aca="false">맥본_원가표!Q115</f>
        <v>1300</v>
      </c>
      <c r="I71" s="17" t="n">
        <f aca="false">맥본_원가표!R115</f>
        <v>0.605866</v>
      </c>
      <c r="J71" s="16" t="n">
        <f aca="false">맥본_원가표!W115</f>
        <v>130000</v>
      </c>
      <c r="K71" s="16" t="n">
        <f aca="false">맥본_원가표!X115</f>
        <v>117000</v>
      </c>
      <c r="L71" s="16" t="n">
        <f aca="false">맥본_원가표!Y115</f>
        <v>110500</v>
      </c>
      <c r="M71" s="16" t="n">
        <f aca="false">맥본_원가표!Z115</f>
        <v>104000</v>
      </c>
      <c r="N71" s="16" t="n">
        <f aca="false">맥본_원가표!AA115</f>
        <v>1040</v>
      </c>
      <c r="O71" s="14" t="str">
        <f aca="false">맥본_원가표!AC115</f>
        <v>용기별도</v>
      </c>
      <c r="P71" s="16" t="n">
        <f aca="false">맥본_원가표!AD115</f>
        <v>600</v>
      </c>
      <c r="Q71" s="16" t="n">
        <f aca="false">맥본_원가표!AE115</f>
        <v>300</v>
      </c>
      <c r="R71" s="16" t="n">
        <f aca="false">맥본_원가표!AF115</f>
        <v>150</v>
      </c>
      <c r="S71" s="16" t="n">
        <f aca="false">맥본_원가표!AG115</f>
        <v>50</v>
      </c>
      <c r="T71" s="16" t="n">
        <f aca="false">맥본_원가표!AH115</f>
        <v>100</v>
      </c>
      <c r="U71" s="16" t="n">
        <f aca="false">맥본_원가표!AI115</f>
        <v>200</v>
      </c>
    </row>
    <row r="72" customFormat="false" ht="15" hidden="false" customHeight="true" outlineLevel="0" collapsed="false">
      <c r="A72" s="34"/>
      <c r="B72" s="35" t="s">
        <v>59</v>
      </c>
      <c r="C72" s="18" t="s">
        <v>60</v>
      </c>
      <c r="D72" s="19" t="n">
        <f aca="false">맥본_원가표!J116</f>
        <v>5</v>
      </c>
      <c r="E72" s="20" t="n">
        <f aca="false">맥본_원가표!P116</f>
        <v>1000</v>
      </c>
      <c r="F72" s="21" t="n">
        <f aca="false">맥본_원가표!I116</f>
        <v>16962</v>
      </c>
      <c r="G72" s="21" t="n">
        <f aca="false">맥본_원가표!O116</f>
        <v>366.9201</v>
      </c>
      <c r="H72" s="21" t="n">
        <f aca="false">맥본_원가표!Q116</f>
        <v>1200</v>
      </c>
      <c r="I72" s="22" t="n">
        <f aca="false">맥본_원가표!R116</f>
        <v>0.69423325</v>
      </c>
      <c r="J72" s="21" t="n">
        <f aca="false">맥본_원가표!W116</f>
        <v>240000</v>
      </c>
      <c r="K72" s="21" t="n">
        <f aca="false">맥본_원가표!X116</f>
        <v>216000</v>
      </c>
      <c r="L72" s="21" t="n">
        <f aca="false">맥본_원가표!Y116</f>
        <v>204000</v>
      </c>
      <c r="M72" s="21" t="n">
        <f aca="false">맥본_원가표!Z116</f>
        <v>192000</v>
      </c>
      <c r="N72" s="21" t="n">
        <f aca="false">맥본_원가표!AA116</f>
        <v>960</v>
      </c>
      <c r="O72" s="19" t="str">
        <f aca="false">맥본_원가표!AC116</f>
        <v>용기별도</v>
      </c>
      <c r="P72" s="21" t="n">
        <f aca="false">맥본_원가표!AD116</f>
        <v>550</v>
      </c>
      <c r="Q72" s="21" t="n">
        <f aca="false">맥본_원가표!AE116</f>
        <v>300</v>
      </c>
      <c r="R72" s="21" t="n">
        <f aca="false">맥본_원가표!AF116</f>
        <v>150</v>
      </c>
      <c r="S72" s="21" t="n">
        <f aca="false">맥본_원가표!AG116</f>
        <v>50</v>
      </c>
      <c r="T72" s="21" t="n">
        <f aca="false">맥본_원가표!AH116</f>
        <v>100</v>
      </c>
      <c r="U72" s="21" t="n">
        <f aca="false">맥본_원가표!AI116</f>
        <v>200</v>
      </c>
    </row>
    <row r="73" customFormat="false" ht="15" hidden="false" customHeight="false" outlineLevel="0" collapsed="false">
      <c r="A73" s="34"/>
      <c r="B73" s="34"/>
      <c r="C73" s="18"/>
      <c r="D73" s="19" t="n">
        <f aca="false">맥본_원가표!J117</f>
        <v>10</v>
      </c>
      <c r="E73" s="20" t="n">
        <f aca="false">맥본_원가표!P117</f>
        <v>1000</v>
      </c>
      <c r="F73" s="21" t="n">
        <f aca="false">맥본_원가표!I116</f>
        <v>16962</v>
      </c>
      <c r="G73" s="21" t="n">
        <f aca="false">맥본_원가표!O117</f>
        <v>469.5402</v>
      </c>
      <c r="H73" s="21" t="n">
        <f aca="false">맥본_원가표!Q117</f>
        <v>1700</v>
      </c>
      <c r="I73" s="22" t="n">
        <f aca="false">맥본_원가표!R117</f>
        <v>0.723799882352941</v>
      </c>
      <c r="J73" s="21" t="n">
        <f aca="false">맥본_원가표!W117</f>
        <v>170000</v>
      </c>
      <c r="K73" s="21" t="n">
        <f aca="false">맥본_원가표!X117</f>
        <v>153000</v>
      </c>
      <c r="L73" s="21" t="n">
        <f aca="false">맥본_원가표!Y117</f>
        <v>144500</v>
      </c>
      <c r="M73" s="21" t="n">
        <f aca="false">맥본_원가표!Z117</f>
        <v>136000</v>
      </c>
      <c r="N73" s="21" t="n">
        <f aca="false">맥본_원가표!AA117</f>
        <v>1360</v>
      </c>
      <c r="O73" s="19" t="str">
        <f aca="false">맥본_원가표!AC117</f>
        <v>용기별도</v>
      </c>
      <c r="P73" s="21" t="n">
        <f aca="false">맥본_원가표!AD117</f>
        <v>600</v>
      </c>
      <c r="Q73" s="21" t="n">
        <f aca="false">맥본_원가표!AE117</f>
        <v>300</v>
      </c>
      <c r="R73" s="21" t="n">
        <f aca="false">맥본_원가표!AF117</f>
        <v>150</v>
      </c>
      <c r="S73" s="21" t="n">
        <f aca="false">맥본_원가표!AG117</f>
        <v>50</v>
      </c>
      <c r="T73" s="21" t="n">
        <f aca="false">맥본_원가표!AH117</f>
        <v>100</v>
      </c>
      <c r="U73" s="21" t="n">
        <f aca="false">맥본_원가표!AI117</f>
        <v>200</v>
      </c>
    </row>
    <row r="74" customFormat="false" ht="15" hidden="false" customHeight="true" outlineLevel="0" collapsed="false">
      <c r="A74" s="34"/>
      <c r="B74" s="34"/>
      <c r="C74" s="24" t="s">
        <v>61</v>
      </c>
      <c r="D74" s="14" t="n">
        <f aca="false">맥본_원가표!J118</f>
        <v>5</v>
      </c>
      <c r="E74" s="15" t="n">
        <f aca="false">맥본_원가표!P118</f>
        <v>1000</v>
      </c>
      <c r="F74" s="16" t="n">
        <f aca="false">맥본_원가표!I118</f>
        <v>34072</v>
      </c>
      <c r="G74" s="16" t="n">
        <f aca="false">맥본_원가표!O118</f>
        <v>470.4356</v>
      </c>
      <c r="H74" s="16" t="n">
        <f aca="false">맥본_원가표!Q118</f>
        <v>1200</v>
      </c>
      <c r="I74" s="17" t="n">
        <f aca="false">맥본_원가표!R118</f>
        <v>0.607970333333333</v>
      </c>
      <c r="J74" s="16" t="n">
        <f aca="false">맥본_원가표!W118</f>
        <v>240000</v>
      </c>
      <c r="K74" s="16" t="n">
        <f aca="false">맥본_원가표!X118</f>
        <v>216000</v>
      </c>
      <c r="L74" s="16" t="n">
        <f aca="false">맥본_원가표!Y118</f>
        <v>204000</v>
      </c>
      <c r="M74" s="16" t="n">
        <f aca="false">맥본_원가표!Z118</f>
        <v>192000</v>
      </c>
      <c r="N74" s="16" t="n">
        <f aca="false">맥본_원가표!AA118</f>
        <v>960</v>
      </c>
      <c r="O74" s="14" t="str">
        <f aca="false">맥본_원가표!AC118</f>
        <v>용기별도</v>
      </c>
      <c r="P74" s="16" t="n">
        <f aca="false">맥본_원가표!AD118</f>
        <v>550</v>
      </c>
      <c r="Q74" s="16" t="n">
        <f aca="false">맥본_원가표!AE118</f>
        <v>300</v>
      </c>
      <c r="R74" s="16" t="n">
        <f aca="false">맥본_원가표!AF118</f>
        <v>150</v>
      </c>
      <c r="S74" s="16" t="n">
        <f aca="false">맥본_원가표!AG118</f>
        <v>50</v>
      </c>
      <c r="T74" s="16" t="n">
        <f aca="false">맥본_원가표!AH118</f>
        <v>100</v>
      </c>
      <c r="U74" s="16" t="n">
        <f aca="false">맥본_원가표!AI118</f>
        <v>200</v>
      </c>
    </row>
    <row r="75" customFormat="false" ht="15" hidden="false" customHeight="false" outlineLevel="0" collapsed="false">
      <c r="A75" s="34"/>
      <c r="B75" s="34"/>
      <c r="C75" s="24"/>
      <c r="D75" s="14" t="n">
        <f aca="false">맥본_원가표!J119</f>
        <v>10</v>
      </c>
      <c r="E75" s="15" t="n">
        <f aca="false">맥본_원가표!P119</f>
        <v>1000</v>
      </c>
      <c r="F75" s="16" t="n">
        <f aca="false">맥본_원가표!I118</f>
        <v>34072</v>
      </c>
      <c r="G75" s="16" t="n">
        <f aca="false">맥본_원가표!O119</f>
        <v>676.5712</v>
      </c>
      <c r="H75" s="16" t="n">
        <f aca="false">맥본_원가표!Q119</f>
        <v>1700</v>
      </c>
      <c r="I75" s="17" t="n">
        <f aca="false">맥본_원가표!R119</f>
        <v>0.60201694117647</v>
      </c>
      <c r="J75" s="16" t="n">
        <f aca="false">맥본_원가표!W119</f>
        <v>170000</v>
      </c>
      <c r="K75" s="16" t="n">
        <f aca="false">맥본_원가표!X119</f>
        <v>153000</v>
      </c>
      <c r="L75" s="16" t="n">
        <f aca="false">맥본_원가표!Y119</f>
        <v>144500</v>
      </c>
      <c r="M75" s="16" t="n">
        <f aca="false">맥본_원가표!Z119</f>
        <v>136000</v>
      </c>
      <c r="N75" s="16" t="n">
        <f aca="false">맥본_원가표!AA119</f>
        <v>1360</v>
      </c>
      <c r="O75" s="14" t="str">
        <f aca="false">맥본_원가표!AC119</f>
        <v>용기별도</v>
      </c>
      <c r="P75" s="16" t="n">
        <f aca="false">맥본_원가표!AD119</f>
        <v>600</v>
      </c>
      <c r="Q75" s="16" t="n">
        <f aca="false">맥본_원가표!AE119</f>
        <v>300</v>
      </c>
      <c r="R75" s="16" t="n">
        <f aca="false">맥본_원가표!AF119</f>
        <v>150</v>
      </c>
      <c r="S75" s="16" t="n">
        <f aca="false">맥본_원가표!AG119</f>
        <v>50</v>
      </c>
      <c r="T75" s="16" t="n">
        <f aca="false">맥본_원가표!AH119</f>
        <v>100</v>
      </c>
      <c r="U75" s="16" t="n">
        <f aca="false">맥본_원가표!AI119</f>
        <v>200</v>
      </c>
    </row>
    <row r="76" customFormat="false" ht="15" hidden="false" customHeight="true" outlineLevel="0" collapsed="false">
      <c r="A76" s="34"/>
      <c r="B76" s="34"/>
      <c r="C76" s="18" t="s">
        <v>62</v>
      </c>
      <c r="D76" s="19" t="n">
        <f aca="false">맥본_원가표!J120</f>
        <v>5</v>
      </c>
      <c r="E76" s="20" t="n">
        <f aca="false">맥본_원가표!P120</f>
        <v>1000</v>
      </c>
      <c r="F76" s="21" t="n">
        <f aca="false">맥본_원가표!I120</f>
        <v>35134</v>
      </c>
      <c r="G76" s="21" t="n">
        <f aca="false">맥본_원가표!O120</f>
        <v>476.8607</v>
      </c>
      <c r="H76" s="21" t="n">
        <f aca="false">맥본_원가표!Q120</f>
        <v>1200</v>
      </c>
      <c r="I76" s="22" t="n">
        <f aca="false">맥본_원가표!R120</f>
        <v>0.602616083333333</v>
      </c>
      <c r="J76" s="21" t="n">
        <f aca="false">맥본_원가표!W120</f>
        <v>240000</v>
      </c>
      <c r="K76" s="21" t="n">
        <f aca="false">맥본_원가표!X120</f>
        <v>216000</v>
      </c>
      <c r="L76" s="21" t="n">
        <f aca="false">맥본_원가표!Y120</f>
        <v>204000</v>
      </c>
      <c r="M76" s="21" t="n">
        <f aca="false">맥본_원가표!Z120</f>
        <v>192000</v>
      </c>
      <c r="N76" s="21" t="n">
        <f aca="false">맥본_원가표!AA120</f>
        <v>960</v>
      </c>
      <c r="O76" s="19" t="str">
        <f aca="false">맥본_원가표!AC120</f>
        <v>용기별도</v>
      </c>
      <c r="P76" s="21" t="n">
        <f aca="false">맥본_원가표!AD120</f>
        <v>550</v>
      </c>
      <c r="Q76" s="21" t="n">
        <f aca="false">맥본_원가표!AE120</f>
        <v>300</v>
      </c>
      <c r="R76" s="21" t="n">
        <f aca="false">맥본_원가표!AF120</f>
        <v>150</v>
      </c>
      <c r="S76" s="21" t="n">
        <f aca="false">맥본_원가표!AG120</f>
        <v>50</v>
      </c>
      <c r="T76" s="21" t="n">
        <f aca="false">맥본_원가표!AH120</f>
        <v>100</v>
      </c>
      <c r="U76" s="21" t="n">
        <f aca="false">맥본_원가표!AI120</f>
        <v>200</v>
      </c>
    </row>
    <row r="77" customFormat="false" ht="15" hidden="false" customHeight="false" outlineLevel="0" collapsed="false">
      <c r="A77" s="34"/>
      <c r="B77" s="34"/>
      <c r="C77" s="18"/>
      <c r="D77" s="19" t="n">
        <f aca="false">맥본_원가표!J121</f>
        <v>10</v>
      </c>
      <c r="E77" s="20" t="n">
        <f aca="false">맥본_원가표!P121</f>
        <v>1000</v>
      </c>
      <c r="F77" s="21" t="n">
        <f aca="false">맥본_원가표!I120</f>
        <v>35134</v>
      </c>
      <c r="G77" s="21" t="n">
        <f aca="false">맥본_원가표!O121</f>
        <v>689.4214</v>
      </c>
      <c r="H77" s="21" t="n">
        <f aca="false">맥본_원가표!Q121</f>
        <v>1700</v>
      </c>
      <c r="I77" s="22" t="n">
        <f aca="false">맥본_원가표!R121</f>
        <v>0.594458</v>
      </c>
      <c r="J77" s="21" t="n">
        <f aca="false">맥본_원가표!W121</f>
        <v>170000</v>
      </c>
      <c r="K77" s="21" t="n">
        <f aca="false">맥본_원가표!X121</f>
        <v>153000</v>
      </c>
      <c r="L77" s="21" t="n">
        <f aca="false">맥본_원가표!Y121</f>
        <v>144500</v>
      </c>
      <c r="M77" s="21" t="n">
        <f aca="false">맥본_원가표!Z121</f>
        <v>136000</v>
      </c>
      <c r="N77" s="21" t="n">
        <f aca="false">맥본_원가표!AA121</f>
        <v>1360</v>
      </c>
      <c r="O77" s="19" t="str">
        <f aca="false">맥본_원가표!AC121</f>
        <v>용기별도</v>
      </c>
      <c r="P77" s="21" t="n">
        <f aca="false">맥본_원가표!AD121</f>
        <v>600</v>
      </c>
      <c r="Q77" s="21" t="n">
        <f aca="false">맥본_원가표!AE121</f>
        <v>300</v>
      </c>
      <c r="R77" s="21" t="n">
        <f aca="false">맥본_원가표!AF121</f>
        <v>150</v>
      </c>
      <c r="S77" s="21" t="n">
        <f aca="false">맥본_원가표!AG121</f>
        <v>50</v>
      </c>
      <c r="T77" s="21" t="n">
        <f aca="false">맥본_원가표!AH121</f>
        <v>100</v>
      </c>
      <c r="U77" s="21" t="n">
        <f aca="false">맥본_원가표!AI121</f>
        <v>200</v>
      </c>
    </row>
    <row r="78" customFormat="false" ht="15" hidden="false" customHeight="true" outlineLevel="0" collapsed="false">
      <c r="A78" s="34"/>
      <c r="B78" s="34"/>
      <c r="C78" s="24" t="s">
        <v>63</v>
      </c>
      <c r="D78" s="14" t="n">
        <f aca="false">맥본_원가표!J122</f>
        <v>5</v>
      </c>
      <c r="E78" s="15" t="n">
        <f aca="false">맥본_원가표!P122</f>
        <v>1000</v>
      </c>
      <c r="F78" s="16" t="n">
        <f aca="false">맥본_원가표!I122</f>
        <v>55666</v>
      </c>
      <c r="G78" s="16" t="n">
        <f aca="false">맥본_원가표!O122</f>
        <v>601.0793</v>
      </c>
      <c r="H78" s="16" t="n">
        <f aca="false">맥본_원가표!Q122</f>
        <v>1500</v>
      </c>
      <c r="I78" s="17" t="n">
        <f aca="false">맥본_원가표!R122</f>
        <v>0.599280466666667</v>
      </c>
      <c r="J78" s="16" t="n">
        <f aca="false">맥본_원가표!W122</f>
        <v>300000</v>
      </c>
      <c r="K78" s="16" t="n">
        <f aca="false">맥본_원가표!X122</f>
        <v>270000</v>
      </c>
      <c r="L78" s="16" t="n">
        <f aca="false">맥본_원가표!Y122</f>
        <v>255000</v>
      </c>
      <c r="M78" s="16" t="n">
        <f aca="false">맥본_원가표!Z122</f>
        <v>240000</v>
      </c>
      <c r="N78" s="16" t="n">
        <f aca="false">맥본_원가표!AA122</f>
        <v>1200</v>
      </c>
      <c r="O78" s="14" t="str">
        <f aca="false">맥본_원가표!AC122</f>
        <v>용기별도</v>
      </c>
      <c r="P78" s="16" t="n">
        <f aca="false">맥본_원가표!AD122</f>
        <v>550</v>
      </c>
      <c r="Q78" s="16" t="n">
        <f aca="false">맥본_원가표!AE122</f>
        <v>300</v>
      </c>
      <c r="R78" s="16" t="n">
        <f aca="false">맥본_원가표!AF122</f>
        <v>150</v>
      </c>
      <c r="S78" s="16" t="n">
        <f aca="false">맥본_원가표!AG122</f>
        <v>50</v>
      </c>
      <c r="T78" s="16" t="n">
        <f aca="false">맥본_원가표!AH122</f>
        <v>100</v>
      </c>
      <c r="U78" s="16" t="n">
        <f aca="false">맥본_원가표!AI122</f>
        <v>200</v>
      </c>
    </row>
    <row r="79" customFormat="false" ht="15" hidden="false" customHeight="false" outlineLevel="0" collapsed="false">
      <c r="A79" s="34"/>
      <c r="B79" s="35"/>
      <c r="C79" s="35"/>
      <c r="D79" s="14" t="n">
        <f aca="false">맥본_원가표!J123</f>
        <v>10</v>
      </c>
      <c r="E79" s="15" t="n">
        <f aca="false">맥본_원가표!P123</f>
        <v>1000</v>
      </c>
      <c r="F79" s="16" t="n">
        <f aca="false">맥본_원가표!I122</f>
        <v>55666</v>
      </c>
      <c r="G79" s="16" t="n">
        <f aca="false">맥본_원가표!O123</f>
        <v>937.8586</v>
      </c>
      <c r="H79" s="16" t="n">
        <f aca="false">맥본_원가표!Q123</f>
        <v>2200</v>
      </c>
      <c r="I79" s="17" t="n">
        <f aca="false">맥본_원가표!R123</f>
        <v>0.573700636363636</v>
      </c>
      <c r="J79" s="16" t="n">
        <f aca="false">맥본_원가표!W123</f>
        <v>220000</v>
      </c>
      <c r="K79" s="16" t="n">
        <f aca="false">맥본_원가표!X123</f>
        <v>198000</v>
      </c>
      <c r="L79" s="16" t="n">
        <f aca="false">맥본_원가표!Y123</f>
        <v>187000</v>
      </c>
      <c r="M79" s="16" t="n">
        <f aca="false">맥본_원가표!Z123</f>
        <v>176000</v>
      </c>
      <c r="N79" s="16" t="n">
        <f aca="false">맥본_원가표!AA123</f>
        <v>1760</v>
      </c>
      <c r="O79" s="14" t="str">
        <f aca="false">맥본_원가표!AC123</f>
        <v>용기별도</v>
      </c>
      <c r="P79" s="16" t="n">
        <f aca="false">맥본_원가표!AD123</f>
        <v>600</v>
      </c>
      <c r="Q79" s="16" t="n">
        <f aca="false">맥본_원가표!AE123</f>
        <v>300</v>
      </c>
      <c r="R79" s="16" t="n">
        <f aca="false">맥본_원가표!AF123</f>
        <v>150</v>
      </c>
      <c r="S79" s="16" t="n">
        <f aca="false">맥본_원가표!AG123</f>
        <v>50</v>
      </c>
      <c r="T79" s="16" t="n">
        <f aca="false">맥본_원가표!AH123</f>
        <v>100</v>
      </c>
      <c r="U79" s="16" t="n">
        <f aca="false">맥본_원가표!AI123</f>
        <v>200</v>
      </c>
    </row>
    <row r="80" customFormat="false" ht="15" hidden="false" customHeight="true" outlineLevel="0" collapsed="false">
      <c r="A80" s="34"/>
      <c r="B80" s="35" t="s">
        <v>64</v>
      </c>
      <c r="C80" s="18" t="s">
        <v>65</v>
      </c>
      <c r="D80" s="19" t="n">
        <f aca="false">맥본_원가표!J124</f>
        <v>5</v>
      </c>
      <c r="E80" s="20" t="n">
        <f aca="false">맥본_원가표!P124</f>
        <v>1000</v>
      </c>
      <c r="F80" s="21" t="n">
        <f aca="false">맥본_원가표!I124</f>
        <v>16962</v>
      </c>
      <c r="G80" s="21" t="n">
        <f aca="false">맥본_원가표!O124</f>
        <v>366.9201</v>
      </c>
      <c r="H80" s="21" t="n">
        <f aca="false">맥본_원가표!Q124</f>
        <v>1200</v>
      </c>
      <c r="I80" s="22" t="n">
        <f aca="false">맥본_원가표!R124</f>
        <v>0.69423325</v>
      </c>
      <c r="J80" s="21" t="n">
        <f aca="false">맥본_원가표!W124</f>
        <v>240000</v>
      </c>
      <c r="K80" s="21" t="n">
        <f aca="false">맥본_원가표!X124</f>
        <v>216000</v>
      </c>
      <c r="L80" s="21" t="n">
        <f aca="false">맥본_원가표!Y124</f>
        <v>204000</v>
      </c>
      <c r="M80" s="21" t="n">
        <f aca="false">맥본_원가표!Z124</f>
        <v>192000</v>
      </c>
      <c r="N80" s="21" t="n">
        <f aca="false">맥본_원가표!AA124</f>
        <v>960</v>
      </c>
      <c r="O80" s="19" t="str">
        <f aca="false">맥본_원가표!AC124</f>
        <v>용기별도</v>
      </c>
      <c r="P80" s="21" t="n">
        <f aca="false">맥본_원가표!AD124</f>
        <v>550</v>
      </c>
      <c r="Q80" s="21" t="n">
        <f aca="false">맥본_원가표!AE124</f>
        <v>300</v>
      </c>
      <c r="R80" s="21" t="n">
        <f aca="false">맥본_원가표!AF124</f>
        <v>150</v>
      </c>
      <c r="S80" s="21" t="n">
        <f aca="false">맥본_원가표!AG124</f>
        <v>50</v>
      </c>
      <c r="T80" s="21" t="n">
        <f aca="false">맥본_원가표!AH124</f>
        <v>100</v>
      </c>
      <c r="U80" s="21" t="n">
        <f aca="false">맥본_원가표!AI124</f>
        <v>200</v>
      </c>
    </row>
    <row r="81" customFormat="false" ht="15" hidden="false" customHeight="false" outlineLevel="0" collapsed="false">
      <c r="A81" s="34"/>
      <c r="B81" s="34"/>
      <c r="C81" s="18"/>
      <c r="D81" s="19" t="n">
        <f aca="false">맥본_원가표!J125</f>
        <v>10</v>
      </c>
      <c r="E81" s="20" t="n">
        <f aca="false">맥본_원가표!P125</f>
        <v>1000</v>
      </c>
      <c r="F81" s="21" t="n">
        <f aca="false">맥본_원가표!I124</f>
        <v>16962</v>
      </c>
      <c r="G81" s="21" t="n">
        <f aca="false">맥본_원가표!O125</f>
        <v>469.5402</v>
      </c>
      <c r="H81" s="21" t="n">
        <f aca="false">맥본_원가표!Q125</f>
        <v>1700</v>
      </c>
      <c r="I81" s="22" t="n">
        <f aca="false">맥본_원가표!R125</f>
        <v>0.723799882352941</v>
      </c>
      <c r="J81" s="21" t="n">
        <f aca="false">맥본_원가표!W125</f>
        <v>170000</v>
      </c>
      <c r="K81" s="21" t="n">
        <f aca="false">맥본_원가표!X125</f>
        <v>153000</v>
      </c>
      <c r="L81" s="21" t="n">
        <f aca="false">맥본_원가표!Y125</f>
        <v>144500</v>
      </c>
      <c r="M81" s="21" t="n">
        <f aca="false">맥본_원가표!Z125</f>
        <v>136000</v>
      </c>
      <c r="N81" s="21" t="n">
        <f aca="false">맥본_원가표!AA125</f>
        <v>1360</v>
      </c>
      <c r="O81" s="19" t="str">
        <f aca="false">맥본_원가표!AC125</f>
        <v>용기별도</v>
      </c>
      <c r="P81" s="21" t="n">
        <f aca="false">맥본_원가표!AD125</f>
        <v>600</v>
      </c>
      <c r="Q81" s="21" t="n">
        <f aca="false">맥본_원가표!AE125</f>
        <v>300</v>
      </c>
      <c r="R81" s="21" t="n">
        <f aca="false">맥본_원가표!AF125</f>
        <v>150</v>
      </c>
      <c r="S81" s="21" t="n">
        <f aca="false">맥본_원가표!AG125</f>
        <v>50</v>
      </c>
      <c r="T81" s="21" t="n">
        <f aca="false">맥본_원가표!AH125</f>
        <v>100</v>
      </c>
      <c r="U81" s="21" t="n">
        <f aca="false">맥본_원가표!AI125</f>
        <v>200</v>
      </c>
    </row>
    <row r="82" customFormat="false" ht="15" hidden="false" customHeight="true" outlineLevel="0" collapsed="false">
      <c r="A82" s="34"/>
      <c r="B82" s="34"/>
      <c r="C82" s="24" t="s">
        <v>66</v>
      </c>
      <c r="D82" s="14" t="n">
        <f aca="false">맥본_원가표!J126</f>
        <v>5</v>
      </c>
      <c r="E82" s="15" t="n">
        <f aca="false">맥본_원가표!P126</f>
        <v>1000</v>
      </c>
      <c r="F82" s="16" t="n">
        <f aca="false">맥본_원가표!I126</f>
        <v>17198</v>
      </c>
      <c r="G82" s="16" t="n">
        <f aca="false">맥본_원가표!O126</f>
        <v>368.3479</v>
      </c>
      <c r="H82" s="16" t="n">
        <f aca="false">맥본_원가표!Q126</f>
        <v>1200</v>
      </c>
      <c r="I82" s="17" t="n">
        <f aca="false">맥본_원가표!R126</f>
        <v>0.693043416666667</v>
      </c>
      <c r="J82" s="16" t="n">
        <f aca="false">맥본_원가표!W126</f>
        <v>240000</v>
      </c>
      <c r="K82" s="16" t="n">
        <f aca="false">맥본_원가표!X126</f>
        <v>216000</v>
      </c>
      <c r="L82" s="16" t="n">
        <f aca="false">맥본_원가표!Y126</f>
        <v>204000</v>
      </c>
      <c r="M82" s="16" t="n">
        <f aca="false">맥본_원가표!Z126</f>
        <v>192000</v>
      </c>
      <c r="N82" s="16" t="n">
        <f aca="false">맥본_원가표!AA126</f>
        <v>960</v>
      </c>
      <c r="O82" s="14" t="str">
        <f aca="false">맥본_원가표!AC126</f>
        <v>용기별도</v>
      </c>
      <c r="P82" s="16" t="n">
        <f aca="false">맥본_원가표!AD126</f>
        <v>550</v>
      </c>
      <c r="Q82" s="16" t="n">
        <f aca="false">맥본_원가표!AE126</f>
        <v>300</v>
      </c>
      <c r="R82" s="16" t="n">
        <f aca="false">맥본_원가표!AF126</f>
        <v>150</v>
      </c>
      <c r="S82" s="16" t="n">
        <f aca="false">맥본_원가표!AG126</f>
        <v>50</v>
      </c>
      <c r="T82" s="16" t="n">
        <f aca="false">맥본_원가표!AH126</f>
        <v>100</v>
      </c>
      <c r="U82" s="16" t="n">
        <f aca="false">맥본_원가표!AI126</f>
        <v>200</v>
      </c>
    </row>
    <row r="83" customFormat="false" ht="15" hidden="false" customHeight="false" outlineLevel="0" collapsed="false">
      <c r="A83" s="34"/>
      <c r="B83" s="34"/>
      <c r="C83" s="24"/>
      <c r="D83" s="14" t="n">
        <f aca="false">맥본_원가표!J127</f>
        <v>10</v>
      </c>
      <c r="E83" s="15" t="n">
        <f aca="false">맥본_원가표!P127</f>
        <v>1000</v>
      </c>
      <c r="F83" s="16" t="n">
        <f aca="false">맥본_원가표!I126</f>
        <v>17198</v>
      </c>
      <c r="G83" s="16" t="n">
        <f aca="false">맥본_원가표!O127</f>
        <v>472.3958</v>
      </c>
      <c r="H83" s="16" t="n">
        <f aca="false">맥본_원가표!Q127</f>
        <v>1700</v>
      </c>
      <c r="I83" s="17" t="n">
        <f aca="false">맥본_원가표!R127</f>
        <v>0.722120117647059</v>
      </c>
      <c r="J83" s="16" t="n">
        <f aca="false">맥본_원가표!W127</f>
        <v>170000</v>
      </c>
      <c r="K83" s="16" t="n">
        <f aca="false">맥본_원가표!X127</f>
        <v>153000</v>
      </c>
      <c r="L83" s="16" t="n">
        <f aca="false">맥본_원가표!Y127</f>
        <v>144500</v>
      </c>
      <c r="M83" s="16" t="n">
        <f aca="false">맥본_원가표!Z127</f>
        <v>136000</v>
      </c>
      <c r="N83" s="16" t="n">
        <f aca="false">맥본_원가표!AA127</f>
        <v>1360</v>
      </c>
      <c r="O83" s="14" t="str">
        <f aca="false">맥본_원가표!AC127</f>
        <v>용기별도</v>
      </c>
      <c r="P83" s="16" t="n">
        <f aca="false">맥본_원가표!AD127</f>
        <v>600</v>
      </c>
      <c r="Q83" s="16" t="n">
        <f aca="false">맥본_원가표!AE127</f>
        <v>300</v>
      </c>
      <c r="R83" s="16" t="n">
        <f aca="false">맥본_원가표!AF127</f>
        <v>150</v>
      </c>
      <c r="S83" s="16" t="n">
        <f aca="false">맥본_원가표!AG127</f>
        <v>50</v>
      </c>
      <c r="T83" s="16" t="n">
        <f aca="false">맥본_원가표!AH127</f>
        <v>100</v>
      </c>
      <c r="U83" s="16" t="n">
        <f aca="false">맥본_원가표!AI127</f>
        <v>200</v>
      </c>
    </row>
    <row r="84" customFormat="false" ht="15" hidden="false" customHeight="true" outlineLevel="0" collapsed="false">
      <c r="A84" s="34"/>
      <c r="B84" s="34"/>
      <c r="C84" s="18" t="s">
        <v>67</v>
      </c>
      <c r="D84" s="19" t="n">
        <f aca="false">맥본_원가표!J128</f>
        <v>5</v>
      </c>
      <c r="E84" s="20" t="n">
        <f aca="false">맥본_원가표!P128</f>
        <v>1000</v>
      </c>
      <c r="F84" s="21" t="n">
        <f aca="false">맥본_원가표!I128</f>
        <v>17906</v>
      </c>
      <c r="G84" s="21" t="n">
        <f aca="false">맥본_원가표!O128</f>
        <v>372.6313</v>
      </c>
      <c r="H84" s="21" t="n">
        <f aca="false">맥본_원가표!Q128</f>
        <v>1200</v>
      </c>
      <c r="I84" s="22" t="n">
        <f aca="false">맥본_원가표!R128</f>
        <v>0.689473916666667</v>
      </c>
      <c r="J84" s="21" t="n">
        <f aca="false">맥본_원가표!W128</f>
        <v>240000</v>
      </c>
      <c r="K84" s="21" t="n">
        <f aca="false">맥본_원가표!X128</f>
        <v>216000</v>
      </c>
      <c r="L84" s="21" t="n">
        <f aca="false">맥본_원가표!Y128</f>
        <v>204000</v>
      </c>
      <c r="M84" s="21" t="n">
        <f aca="false">맥본_원가표!Z128</f>
        <v>192000</v>
      </c>
      <c r="N84" s="21" t="n">
        <f aca="false">맥본_원가표!AA128</f>
        <v>960</v>
      </c>
      <c r="O84" s="19" t="str">
        <f aca="false">맥본_원가표!AC128</f>
        <v>용기별도</v>
      </c>
      <c r="P84" s="21" t="n">
        <f aca="false">맥본_원가표!AD128</f>
        <v>550</v>
      </c>
      <c r="Q84" s="21" t="n">
        <f aca="false">맥본_원가표!AE128</f>
        <v>300</v>
      </c>
      <c r="R84" s="21" t="n">
        <f aca="false">맥본_원가표!AF128</f>
        <v>150</v>
      </c>
      <c r="S84" s="21" t="n">
        <f aca="false">맥본_원가표!AG128</f>
        <v>50</v>
      </c>
      <c r="T84" s="21" t="n">
        <f aca="false">맥본_원가표!AH128</f>
        <v>100</v>
      </c>
      <c r="U84" s="21" t="n">
        <f aca="false">맥본_원가표!AI128</f>
        <v>200</v>
      </c>
    </row>
    <row r="85" customFormat="false" ht="15" hidden="false" customHeight="false" outlineLevel="0" collapsed="false">
      <c r="A85" s="34"/>
      <c r="B85" s="34"/>
      <c r="C85" s="18"/>
      <c r="D85" s="19" t="n">
        <f aca="false">맥본_원가표!J129</f>
        <v>10</v>
      </c>
      <c r="E85" s="20" t="n">
        <f aca="false">맥본_원가표!P129</f>
        <v>1000</v>
      </c>
      <c r="F85" s="21" t="n">
        <f aca="false">맥본_원가표!I128</f>
        <v>17906</v>
      </c>
      <c r="G85" s="21" t="n">
        <f aca="false">맥본_원가표!O129</f>
        <v>480.9626</v>
      </c>
      <c r="H85" s="21" t="n">
        <f aca="false">맥본_원가표!Q129</f>
        <v>1700</v>
      </c>
      <c r="I85" s="22" t="n">
        <f aca="false">맥본_원가표!R129</f>
        <v>0.717080823529412</v>
      </c>
      <c r="J85" s="21" t="n">
        <f aca="false">맥본_원가표!W129</f>
        <v>170000</v>
      </c>
      <c r="K85" s="21" t="n">
        <f aca="false">맥본_원가표!X129</f>
        <v>153000</v>
      </c>
      <c r="L85" s="21" t="n">
        <f aca="false">맥본_원가표!Y129</f>
        <v>144500</v>
      </c>
      <c r="M85" s="21" t="n">
        <f aca="false">맥본_원가표!Z129</f>
        <v>136000</v>
      </c>
      <c r="N85" s="21" t="n">
        <f aca="false">맥본_원가표!AA129</f>
        <v>1360</v>
      </c>
      <c r="O85" s="19" t="str">
        <f aca="false">맥본_원가표!AC129</f>
        <v>용기별도</v>
      </c>
      <c r="P85" s="21" t="n">
        <f aca="false">맥본_원가표!AD129</f>
        <v>600</v>
      </c>
      <c r="Q85" s="21" t="n">
        <f aca="false">맥본_원가표!AE129</f>
        <v>300</v>
      </c>
      <c r="R85" s="21" t="n">
        <f aca="false">맥본_원가표!AF129</f>
        <v>150</v>
      </c>
      <c r="S85" s="21" t="n">
        <f aca="false">맥본_원가표!AG129</f>
        <v>50</v>
      </c>
      <c r="T85" s="21" t="n">
        <f aca="false">맥본_원가표!AH129</f>
        <v>100</v>
      </c>
      <c r="U85" s="21" t="n">
        <f aca="false">맥본_원가표!AI129</f>
        <v>200</v>
      </c>
    </row>
    <row r="86" customFormat="false" ht="15" hidden="false" customHeight="true" outlineLevel="0" collapsed="false">
      <c r="A86" s="34"/>
      <c r="B86" s="34"/>
      <c r="C86" s="24" t="s">
        <v>68</v>
      </c>
      <c r="D86" s="14" t="n">
        <f aca="false">맥본_원가표!J130</f>
        <v>5</v>
      </c>
      <c r="E86" s="15" t="n">
        <f aca="false">맥본_원가표!P130</f>
        <v>1000</v>
      </c>
      <c r="F86" s="16" t="n">
        <f aca="false">맥본_원가표!I130</f>
        <v>24514</v>
      </c>
      <c r="G86" s="16" t="n">
        <f aca="false">맥본_원가표!O130</f>
        <v>412.6097</v>
      </c>
      <c r="H86" s="16" t="n">
        <f aca="false">맥본_원가표!Q130</f>
        <v>1200</v>
      </c>
      <c r="I86" s="17" t="n">
        <f aca="false">맥본_원가표!R130</f>
        <v>0.656158583333333</v>
      </c>
      <c r="J86" s="16" t="n">
        <f aca="false">맥본_원가표!W130</f>
        <v>240000</v>
      </c>
      <c r="K86" s="16" t="n">
        <f aca="false">맥본_원가표!X130</f>
        <v>216000</v>
      </c>
      <c r="L86" s="16" t="n">
        <f aca="false">맥본_원가표!Y130</f>
        <v>204000</v>
      </c>
      <c r="M86" s="16" t="n">
        <f aca="false">맥본_원가표!Z130</f>
        <v>192000</v>
      </c>
      <c r="N86" s="16" t="n">
        <f aca="false">맥본_원가표!AA130</f>
        <v>960</v>
      </c>
      <c r="O86" s="14" t="str">
        <f aca="false">맥본_원가표!AC130</f>
        <v>용기별도</v>
      </c>
      <c r="P86" s="16" t="n">
        <f aca="false">맥본_원가표!AD130</f>
        <v>550</v>
      </c>
      <c r="Q86" s="16" t="n">
        <f aca="false">맥본_원가표!AE130</f>
        <v>300</v>
      </c>
      <c r="R86" s="16" t="n">
        <f aca="false">맥본_원가표!AF130</f>
        <v>150</v>
      </c>
      <c r="S86" s="16" t="n">
        <f aca="false">맥본_원가표!AG130</f>
        <v>50</v>
      </c>
      <c r="T86" s="16" t="n">
        <f aca="false">맥본_원가표!AH130</f>
        <v>100</v>
      </c>
      <c r="U86" s="16" t="n">
        <f aca="false">맥본_원가표!AI130</f>
        <v>200</v>
      </c>
    </row>
    <row r="87" customFormat="false" ht="15" hidden="false" customHeight="false" outlineLevel="0" collapsed="false">
      <c r="A87" s="34"/>
      <c r="B87" s="34"/>
      <c r="C87" s="34"/>
      <c r="D87" s="14" t="n">
        <f aca="false">맥본_원가표!J131</f>
        <v>10</v>
      </c>
      <c r="E87" s="15" t="n">
        <f aca="false">맥본_원가표!P131</f>
        <v>1000</v>
      </c>
      <c r="F87" s="16" t="n">
        <f aca="false">맥본_원가표!I130</f>
        <v>24514</v>
      </c>
      <c r="G87" s="16" t="n">
        <f aca="false">맥본_원가표!O131</f>
        <v>560.9194</v>
      </c>
      <c r="H87" s="16" t="n">
        <f aca="false">맥본_원가표!Q131</f>
        <v>1700</v>
      </c>
      <c r="I87" s="17" t="n">
        <f aca="false">맥본_원가표!R131</f>
        <v>0.670047411764706</v>
      </c>
      <c r="J87" s="16" t="n">
        <f aca="false">맥본_원가표!W131</f>
        <v>170000</v>
      </c>
      <c r="K87" s="16" t="n">
        <f aca="false">맥본_원가표!X131</f>
        <v>153000</v>
      </c>
      <c r="L87" s="16" t="n">
        <f aca="false">맥본_원가표!Y131</f>
        <v>144500</v>
      </c>
      <c r="M87" s="16" t="n">
        <f aca="false">맥본_원가표!Z131</f>
        <v>136000</v>
      </c>
      <c r="N87" s="16" t="n">
        <f aca="false">맥본_원가표!AA131</f>
        <v>1360</v>
      </c>
      <c r="O87" s="14" t="str">
        <f aca="false">맥본_원가표!AC131</f>
        <v>용기별도</v>
      </c>
      <c r="P87" s="16" t="n">
        <f aca="false">맥본_원가표!AD131</f>
        <v>600</v>
      </c>
      <c r="Q87" s="16" t="n">
        <f aca="false">맥본_원가표!AE131</f>
        <v>300</v>
      </c>
      <c r="R87" s="16" t="n">
        <f aca="false">맥본_원가표!AF131</f>
        <v>150</v>
      </c>
      <c r="S87" s="16" t="n">
        <f aca="false">맥본_원가표!AG131</f>
        <v>50</v>
      </c>
      <c r="T87" s="16" t="n">
        <f aca="false">맥본_원가표!AH131</f>
        <v>100</v>
      </c>
      <c r="U87" s="16" t="n">
        <f aca="false">맥본_원가표!AI131</f>
        <v>200</v>
      </c>
    </row>
    <row r="88" customFormat="false" ht="15" hidden="false" customHeight="true" outlineLevel="0" collapsed="false">
      <c r="A88" s="36" t="s">
        <v>69</v>
      </c>
      <c r="B88" s="28" t="s">
        <v>69</v>
      </c>
      <c r="C88" s="29" t="s">
        <v>70</v>
      </c>
      <c r="D88" s="30" t="n">
        <f aca="false">맥본_원가표!J137</f>
        <v>5</v>
      </c>
      <c r="E88" s="31" t="n">
        <f aca="false">맥본_원가표!P137</f>
        <v>500</v>
      </c>
      <c r="F88" s="32" t="n">
        <f aca="false">맥본_원가표!I137</f>
        <v>21800</v>
      </c>
      <c r="G88" s="32" t="n">
        <f aca="false">맥본_원가표!O137</f>
        <v>440.24</v>
      </c>
      <c r="H88" s="32" t="n">
        <f aca="false">맥본_원가표!Q137</f>
        <v>1800</v>
      </c>
      <c r="I88" s="33" t="n">
        <f aca="false">맥본_원가표!R137</f>
        <v>0.755422222222222</v>
      </c>
      <c r="J88" s="32" t="n">
        <f aca="false">맥본_원가표!W137</f>
        <v>360000</v>
      </c>
      <c r="K88" s="32" t="n">
        <f aca="false">맥본_원가표!X137</f>
        <v>324000</v>
      </c>
      <c r="L88" s="32" t="n">
        <f aca="false">맥본_원가표!Y137</f>
        <v>306000</v>
      </c>
      <c r="M88" s="32" t="n">
        <f aca="false">맥본_원가표!Z137</f>
        <v>288000</v>
      </c>
      <c r="N88" s="32" t="n">
        <f aca="false">맥본_원가표!AA137</f>
        <v>1440</v>
      </c>
      <c r="O88" s="30" t="str">
        <f aca="false">맥본_원가표!AC137</f>
        <v>제판비별도</v>
      </c>
      <c r="P88" s="32" t="n">
        <f aca="false">맥본_원가표!AD137</f>
        <v>200</v>
      </c>
      <c r="Q88" s="32" t="n">
        <f aca="false">맥본_원가표!AE137</f>
        <v>300</v>
      </c>
      <c r="R88" s="32" t="n">
        <f aca="false">맥본_원가표!AF137</f>
        <v>150</v>
      </c>
      <c r="S88" s="32" t="n">
        <f aca="false">맥본_원가표!AG137</f>
        <v>50</v>
      </c>
      <c r="T88" s="32" t="n">
        <f aca="false">맥본_원가표!AH137</f>
        <v>100</v>
      </c>
      <c r="U88" s="32" t="n">
        <f aca="false">맥본_원가표!AI137</f>
        <v>200</v>
      </c>
    </row>
    <row r="89" customFormat="false" ht="15" hidden="false" customHeight="false" outlineLevel="0" collapsed="false">
      <c r="A89" s="36"/>
      <c r="B89" s="36"/>
      <c r="C89" s="36"/>
      <c r="D89" s="19" t="n">
        <f aca="false">맥본_원가표!J138</f>
        <v>10</v>
      </c>
      <c r="E89" s="20" t="n">
        <f aca="false">맥본_원가표!P138</f>
        <v>500</v>
      </c>
      <c r="F89" s="21" t="n">
        <f aca="false">맥본_원가표!I137</f>
        <v>21800</v>
      </c>
      <c r="G89" s="21" t="n">
        <f aca="false">맥본_원가표!O138</f>
        <v>572.13</v>
      </c>
      <c r="H89" s="21" t="n">
        <f aca="false">맥본_원가표!Q138</f>
        <v>2200</v>
      </c>
      <c r="I89" s="22" t="n">
        <f aca="false">맥본_원가표!R138</f>
        <v>0.739940909090909</v>
      </c>
      <c r="J89" s="21" t="n">
        <f aca="false">맥본_원가표!W138</f>
        <v>220000</v>
      </c>
      <c r="K89" s="21" t="n">
        <f aca="false">맥본_원가표!X138</f>
        <v>198000</v>
      </c>
      <c r="L89" s="21" t="n">
        <f aca="false">맥본_원가표!Y138</f>
        <v>187000</v>
      </c>
      <c r="M89" s="21" t="n">
        <f aca="false">맥본_원가표!Z138</f>
        <v>176000</v>
      </c>
      <c r="N89" s="21" t="n">
        <f aca="false">맥본_원가표!AA138</f>
        <v>1760</v>
      </c>
      <c r="O89" s="19" t="str">
        <f aca="false">맥본_원가표!AC138</f>
        <v>제판비별도</v>
      </c>
      <c r="P89" s="21" t="n">
        <f aca="false">맥본_원가표!AD138</f>
        <v>200</v>
      </c>
      <c r="Q89" s="21" t="n">
        <f aca="false">맥본_원가표!AE138</f>
        <v>300</v>
      </c>
      <c r="R89" s="21" t="n">
        <f aca="false">맥본_원가표!AF138</f>
        <v>150</v>
      </c>
      <c r="S89" s="21" t="n">
        <f aca="false">맥본_원가표!AG138</f>
        <v>50</v>
      </c>
      <c r="T89" s="21" t="n">
        <f aca="false">맥본_원가표!AH138</f>
        <v>100</v>
      </c>
      <c r="U89" s="21" t="n">
        <f aca="false">맥본_원가표!AI138</f>
        <v>200</v>
      </c>
    </row>
    <row r="90" customFormat="false" ht="15" hidden="false" customHeight="false" outlineLevel="0" collapsed="false">
      <c r="A90" s="36"/>
      <c r="B90" s="36"/>
      <c r="C90" s="36"/>
      <c r="D90" s="19" t="n">
        <f aca="false">맥본_원가표!J139</f>
        <v>15</v>
      </c>
      <c r="E90" s="20" t="n">
        <f aca="false">맥본_원가표!P139</f>
        <v>500</v>
      </c>
      <c r="F90" s="21" t="n">
        <f aca="false">맥본_원가표!I137</f>
        <v>21800</v>
      </c>
      <c r="G90" s="21" t="n">
        <f aca="false">맥본_원가표!O139</f>
        <v>659.97</v>
      </c>
      <c r="H90" s="21" t="n">
        <f aca="false">맥본_원가표!Q139</f>
        <v>2600</v>
      </c>
      <c r="I90" s="22" t="n">
        <f aca="false">맥본_원가표!R139</f>
        <v>0.746165384615385</v>
      </c>
      <c r="J90" s="21" t="n">
        <f aca="false">맥본_원가표!W139</f>
        <v>173333.333333333</v>
      </c>
      <c r="K90" s="21" t="n">
        <f aca="false">맥본_원가표!X139</f>
        <v>156000</v>
      </c>
      <c r="L90" s="21" t="n">
        <f aca="false">맥본_원가표!Y139</f>
        <v>147333.333333333</v>
      </c>
      <c r="M90" s="21" t="n">
        <f aca="false">맥본_원가표!Z139</f>
        <v>138666.666666667</v>
      </c>
      <c r="N90" s="21" t="n">
        <f aca="false">맥본_원가표!AA139</f>
        <v>2080</v>
      </c>
      <c r="O90" s="19" t="str">
        <f aca="false">맥본_원가표!AC139</f>
        <v>제판비별도</v>
      </c>
      <c r="P90" s="21" t="n">
        <f aca="false">맥본_원가표!AD139</f>
        <v>200</v>
      </c>
      <c r="Q90" s="21" t="n">
        <f aca="false">맥본_원가표!AE139</f>
        <v>300</v>
      </c>
      <c r="R90" s="21" t="n">
        <f aca="false">맥본_원가표!AF139</f>
        <v>150</v>
      </c>
      <c r="S90" s="21" t="n">
        <f aca="false">맥본_원가표!AG139</f>
        <v>50</v>
      </c>
      <c r="T90" s="21" t="n">
        <f aca="false">맥본_원가표!AH139</f>
        <v>100</v>
      </c>
      <c r="U90" s="21" t="n">
        <f aca="false">맥본_원가표!AI139</f>
        <v>200</v>
      </c>
    </row>
    <row r="91" customFormat="false" ht="15" hidden="false" customHeight="false" outlineLevel="0" collapsed="false">
      <c r="A91" s="36"/>
      <c r="B91" s="36"/>
      <c r="C91" s="36"/>
      <c r="D91" s="19" t="n">
        <f aca="false">맥본_원가표!J140</f>
        <v>20</v>
      </c>
      <c r="E91" s="20" t="n">
        <f aca="false">맥본_원가표!P140</f>
        <v>500</v>
      </c>
      <c r="F91" s="21" t="n">
        <f aca="false">맥본_원가표!I137</f>
        <v>21800</v>
      </c>
      <c r="G91" s="21" t="n">
        <f aca="false">맥본_원가표!O140</f>
        <v>791.86</v>
      </c>
      <c r="H91" s="21" t="n">
        <f aca="false">맥본_원가표!Q140</f>
        <v>3000</v>
      </c>
      <c r="I91" s="22" t="n">
        <f aca="false">맥본_원가표!R140</f>
        <v>0.736046666666667</v>
      </c>
      <c r="J91" s="21" t="n">
        <f aca="false">맥본_원가표!W140</f>
        <v>150000</v>
      </c>
      <c r="K91" s="21" t="n">
        <f aca="false">맥본_원가표!X140</f>
        <v>135000</v>
      </c>
      <c r="L91" s="21" t="n">
        <f aca="false">맥본_원가표!Y140</f>
        <v>127500</v>
      </c>
      <c r="M91" s="21" t="n">
        <f aca="false">맥본_원가표!Z140</f>
        <v>120000</v>
      </c>
      <c r="N91" s="21" t="n">
        <f aca="false">맥본_원가표!AA140</f>
        <v>2400</v>
      </c>
      <c r="O91" s="19" t="str">
        <f aca="false">맥본_원가표!AC140</f>
        <v>제판비별도</v>
      </c>
      <c r="P91" s="21" t="n">
        <f aca="false">맥본_원가표!AD140</f>
        <v>200</v>
      </c>
      <c r="Q91" s="21" t="n">
        <f aca="false">맥본_원가표!AE140</f>
        <v>300</v>
      </c>
      <c r="R91" s="21" t="n">
        <f aca="false">맥본_원가표!AF140</f>
        <v>150</v>
      </c>
      <c r="S91" s="21" t="n">
        <f aca="false">맥본_원가표!AG140</f>
        <v>50</v>
      </c>
      <c r="T91" s="21" t="n">
        <f aca="false">맥본_원가표!AH140</f>
        <v>100</v>
      </c>
      <c r="U91" s="21" t="n">
        <f aca="false">맥본_원가표!AI140</f>
        <v>200</v>
      </c>
    </row>
    <row r="92" customFormat="false" ht="15" hidden="false" customHeight="false" outlineLevel="0" collapsed="false">
      <c r="A92" s="36"/>
      <c r="B92" s="36"/>
      <c r="C92" s="29"/>
      <c r="D92" s="19" t="n">
        <f aca="false">맥본_원가표!J141</f>
        <v>30</v>
      </c>
      <c r="E92" s="20" t="n">
        <f aca="false">맥본_원가표!P141</f>
        <v>500</v>
      </c>
      <c r="F92" s="21" t="n">
        <f aca="false">맥본_원가표!I137</f>
        <v>21800</v>
      </c>
      <c r="G92" s="21" t="n">
        <f aca="false">맥본_원가표!O141</f>
        <v>1055.64</v>
      </c>
      <c r="H92" s="21" t="n">
        <f aca="false">맥본_원가표!Q141</f>
        <v>3800</v>
      </c>
      <c r="I92" s="22" t="n">
        <f aca="false">맥본_원가표!R141</f>
        <v>0.7222</v>
      </c>
      <c r="J92" s="21" t="n">
        <f aca="false">맥본_원가표!W141</f>
        <v>126666.666666667</v>
      </c>
      <c r="K92" s="21" t="n">
        <f aca="false">맥본_원가표!X141</f>
        <v>114000</v>
      </c>
      <c r="L92" s="21" t="n">
        <f aca="false">맥본_원가표!Y141</f>
        <v>107666.666666667</v>
      </c>
      <c r="M92" s="21" t="n">
        <f aca="false">맥본_원가표!Z141</f>
        <v>101333.333333333</v>
      </c>
      <c r="N92" s="21" t="n">
        <f aca="false">맥본_원가표!AA141</f>
        <v>3040</v>
      </c>
      <c r="O92" s="19" t="str">
        <f aca="false">맥본_원가표!AC141</f>
        <v>제판비별도</v>
      </c>
      <c r="P92" s="21" t="n">
        <f aca="false">맥본_원가표!AD141</f>
        <v>200</v>
      </c>
      <c r="Q92" s="21" t="n">
        <f aca="false">맥본_원가표!AE141</f>
        <v>300</v>
      </c>
      <c r="R92" s="21" t="n">
        <f aca="false">맥본_원가표!AF141</f>
        <v>150</v>
      </c>
      <c r="S92" s="21" t="n">
        <f aca="false">맥본_원가표!AG141</f>
        <v>50</v>
      </c>
      <c r="T92" s="21" t="n">
        <f aca="false">맥본_원가표!AH141</f>
        <v>100</v>
      </c>
      <c r="U92" s="21" t="n">
        <f aca="false">맥본_원가표!AI141</f>
        <v>200</v>
      </c>
    </row>
    <row r="93" customFormat="false" ht="15" hidden="false" customHeight="true" outlineLevel="0" collapsed="false">
      <c r="A93" s="36"/>
      <c r="B93" s="36"/>
      <c r="C93" s="24" t="s">
        <v>71</v>
      </c>
      <c r="D93" s="14" t="n">
        <f aca="false">맥본_원가표!J142</f>
        <v>5</v>
      </c>
      <c r="E93" s="15" t="n">
        <f aca="false">맥본_원가표!P142</f>
        <v>500</v>
      </c>
      <c r="F93" s="16" t="n">
        <f aca="false">맥본_원가표!I142</f>
        <v>21800</v>
      </c>
      <c r="G93" s="16" t="n">
        <f aca="false">맥본_원가표!O142</f>
        <v>440.24</v>
      </c>
      <c r="H93" s="16" t="n">
        <f aca="false">맥본_원가표!Q142</f>
        <v>1800</v>
      </c>
      <c r="I93" s="17" t="n">
        <f aca="false">맥본_원가표!R142</f>
        <v>0.755422222222222</v>
      </c>
      <c r="J93" s="16" t="n">
        <f aca="false">맥본_원가표!W142</f>
        <v>360000</v>
      </c>
      <c r="K93" s="16" t="n">
        <f aca="false">맥본_원가표!X142</f>
        <v>324000</v>
      </c>
      <c r="L93" s="16" t="n">
        <f aca="false">맥본_원가표!Y142</f>
        <v>306000</v>
      </c>
      <c r="M93" s="16" t="n">
        <f aca="false">맥본_원가표!Z142</f>
        <v>288000</v>
      </c>
      <c r="N93" s="16" t="n">
        <f aca="false">맥본_원가표!AA142</f>
        <v>1440</v>
      </c>
      <c r="O93" s="14" t="str">
        <f aca="false">맥본_원가표!AC142</f>
        <v>제판비별도</v>
      </c>
      <c r="P93" s="16" t="n">
        <f aca="false">맥본_원가표!AD142</f>
        <v>200</v>
      </c>
      <c r="Q93" s="16" t="n">
        <f aca="false">맥본_원가표!AE142</f>
        <v>300</v>
      </c>
      <c r="R93" s="16" t="n">
        <f aca="false">맥본_원가표!AF142</f>
        <v>150</v>
      </c>
      <c r="S93" s="16" t="n">
        <f aca="false">맥본_원가표!AG142</f>
        <v>50</v>
      </c>
      <c r="T93" s="16" t="n">
        <f aca="false">맥본_원가표!AH142</f>
        <v>100</v>
      </c>
      <c r="U93" s="16" t="n">
        <f aca="false">맥본_원가표!AI142</f>
        <v>200</v>
      </c>
    </row>
    <row r="94" customFormat="false" ht="15" hidden="false" customHeight="false" outlineLevel="0" collapsed="false">
      <c r="A94" s="36"/>
      <c r="B94" s="36"/>
      <c r="C94" s="36"/>
      <c r="D94" s="14" t="n">
        <f aca="false">맥본_원가표!J143</f>
        <v>10</v>
      </c>
      <c r="E94" s="15" t="n">
        <f aca="false">맥본_원가표!P143</f>
        <v>500</v>
      </c>
      <c r="F94" s="16" t="n">
        <f aca="false">맥본_원가표!I142</f>
        <v>21800</v>
      </c>
      <c r="G94" s="16" t="n">
        <f aca="false">맥본_원가표!O143</f>
        <v>572.13</v>
      </c>
      <c r="H94" s="16" t="n">
        <f aca="false">맥본_원가표!Q143</f>
        <v>2200</v>
      </c>
      <c r="I94" s="17" t="n">
        <f aca="false">맥본_원가표!R143</f>
        <v>0.739940909090909</v>
      </c>
      <c r="J94" s="16" t="n">
        <f aca="false">맥본_원가표!W143</f>
        <v>220000</v>
      </c>
      <c r="K94" s="16" t="n">
        <f aca="false">맥본_원가표!X143</f>
        <v>198000</v>
      </c>
      <c r="L94" s="16" t="n">
        <f aca="false">맥본_원가표!Y143</f>
        <v>187000</v>
      </c>
      <c r="M94" s="16" t="n">
        <f aca="false">맥본_원가표!Z143</f>
        <v>176000</v>
      </c>
      <c r="N94" s="16" t="n">
        <f aca="false">맥본_원가표!AA143</f>
        <v>1760</v>
      </c>
      <c r="O94" s="14" t="str">
        <f aca="false">맥본_원가표!AC143</f>
        <v>제판비별도</v>
      </c>
      <c r="P94" s="16" t="n">
        <f aca="false">맥본_원가표!AD143</f>
        <v>200</v>
      </c>
      <c r="Q94" s="16" t="n">
        <f aca="false">맥본_원가표!AE143</f>
        <v>300</v>
      </c>
      <c r="R94" s="16" t="n">
        <f aca="false">맥본_원가표!AF143</f>
        <v>150</v>
      </c>
      <c r="S94" s="16" t="n">
        <f aca="false">맥본_원가표!AG143</f>
        <v>50</v>
      </c>
      <c r="T94" s="16" t="n">
        <f aca="false">맥본_원가표!AH143</f>
        <v>100</v>
      </c>
      <c r="U94" s="16" t="n">
        <f aca="false">맥본_원가표!AI143</f>
        <v>200</v>
      </c>
    </row>
    <row r="95" customFormat="false" ht="15" hidden="false" customHeight="false" outlineLevel="0" collapsed="false">
      <c r="A95" s="36"/>
      <c r="B95" s="36"/>
      <c r="C95" s="36"/>
      <c r="D95" s="14" t="n">
        <f aca="false">맥본_원가표!J144</f>
        <v>15</v>
      </c>
      <c r="E95" s="15" t="n">
        <f aca="false">맥본_원가표!P144</f>
        <v>500</v>
      </c>
      <c r="F95" s="16" t="n">
        <f aca="false">맥본_원가표!I142</f>
        <v>21800</v>
      </c>
      <c r="G95" s="16" t="n">
        <f aca="false">맥본_원가표!O144</f>
        <v>659.97</v>
      </c>
      <c r="H95" s="16" t="n">
        <f aca="false">맥본_원가표!Q144</f>
        <v>2600</v>
      </c>
      <c r="I95" s="17" t="n">
        <f aca="false">맥본_원가표!R144</f>
        <v>0.746165384615385</v>
      </c>
      <c r="J95" s="16" t="n">
        <f aca="false">맥본_원가표!W144</f>
        <v>173333.333333333</v>
      </c>
      <c r="K95" s="16" t="n">
        <f aca="false">맥본_원가표!X144</f>
        <v>156000</v>
      </c>
      <c r="L95" s="16" t="n">
        <f aca="false">맥본_원가표!Y144</f>
        <v>147333.333333333</v>
      </c>
      <c r="M95" s="16" t="n">
        <f aca="false">맥본_원가표!Z144</f>
        <v>138666.666666667</v>
      </c>
      <c r="N95" s="16" t="n">
        <f aca="false">맥본_원가표!AA144</f>
        <v>2080</v>
      </c>
      <c r="O95" s="14" t="str">
        <f aca="false">맥본_원가표!AC144</f>
        <v>제판비별도</v>
      </c>
      <c r="P95" s="16" t="n">
        <f aca="false">맥본_원가표!AD144</f>
        <v>200</v>
      </c>
      <c r="Q95" s="16" t="n">
        <f aca="false">맥본_원가표!AE144</f>
        <v>300</v>
      </c>
      <c r="R95" s="16" t="n">
        <f aca="false">맥본_원가표!AF144</f>
        <v>150</v>
      </c>
      <c r="S95" s="16" t="n">
        <f aca="false">맥본_원가표!AG144</f>
        <v>50</v>
      </c>
      <c r="T95" s="16" t="n">
        <f aca="false">맥본_원가표!AH144</f>
        <v>100</v>
      </c>
      <c r="U95" s="16" t="n">
        <f aca="false">맥본_원가표!AI144</f>
        <v>200</v>
      </c>
    </row>
    <row r="96" customFormat="false" ht="15" hidden="false" customHeight="false" outlineLevel="0" collapsed="false">
      <c r="A96" s="36"/>
      <c r="B96" s="36"/>
      <c r="C96" s="36"/>
      <c r="D96" s="14" t="n">
        <f aca="false">맥본_원가표!J145</f>
        <v>20</v>
      </c>
      <c r="E96" s="15" t="n">
        <f aca="false">맥본_원가표!P145</f>
        <v>500</v>
      </c>
      <c r="F96" s="16" t="n">
        <f aca="false">맥본_원가표!I142</f>
        <v>21800</v>
      </c>
      <c r="G96" s="16" t="n">
        <f aca="false">맥본_원가표!O145</f>
        <v>791.86</v>
      </c>
      <c r="H96" s="16" t="n">
        <f aca="false">맥본_원가표!Q145</f>
        <v>3000</v>
      </c>
      <c r="I96" s="17" t="n">
        <f aca="false">맥본_원가표!R145</f>
        <v>0.736046666666667</v>
      </c>
      <c r="J96" s="16" t="n">
        <f aca="false">맥본_원가표!W145</f>
        <v>150000</v>
      </c>
      <c r="K96" s="16" t="n">
        <f aca="false">맥본_원가표!X145</f>
        <v>135000</v>
      </c>
      <c r="L96" s="16" t="n">
        <f aca="false">맥본_원가표!Y145</f>
        <v>127500</v>
      </c>
      <c r="M96" s="16" t="n">
        <f aca="false">맥본_원가표!Z145</f>
        <v>120000</v>
      </c>
      <c r="N96" s="16" t="n">
        <f aca="false">맥본_원가표!AA145</f>
        <v>2400</v>
      </c>
      <c r="O96" s="14" t="str">
        <f aca="false">맥본_원가표!AC145</f>
        <v>제판비별도</v>
      </c>
      <c r="P96" s="16" t="n">
        <f aca="false">맥본_원가표!AD145</f>
        <v>200</v>
      </c>
      <c r="Q96" s="16" t="n">
        <f aca="false">맥본_원가표!AE145</f>
        <v>300</v>
      </c>
      <c r="R96" s="16" t="n">
        <f aca="false">맥본_원가표!AF145</f>
        <v>150</v>
      </c>
      <c r="S96" s="16" t="n">
        <f aca="false">맥본_원가표!AG145</f>
        <v>50</v>
      </c>
      <c r="T96" s="16" t="n">
        <f aca="false">맥본_원가표!AH145</f>
        <v>100</v>
      </c>
      <c r="U96" s="16" t="n">
        <f aca="false">맥본_원가표!AI145</f>
        <v>200</v>
      </c>
    </row>
    <row r="97" customFormat="false" ht="15" hidden="false" customHeight="false" outlineLevel="0" collapsed="false">
      <c r="A97" s="36"/>
      <c r="B97" s="36"/>
      <c r="C97" s="24"/>
      <c r="D97" s="14" t="n">
        <f aca="false">맥본_원가표!J146</f>
        <v>30</v>
      </c>
      <c r="E97" s="15" t="n">
        <f aca="false">맥본_원가표!P146</f>
        <v>500</v>
      </c>
      <c r="F97" s="16" t="n">
        <f aca="false">맥본_원가표!I142</f>
        <v>21800</v>
      </c>
      <c r="G97" s="16" t="n">
        <f aca="false">맥본_원가표!O146</f>
        <v>1055.64</v>
      </c>
      <c r="H97" s="16" t="n">
        <f aca="false">맥본_원가표!Q146</f>
        <v>3800</v>
      </c>
      <c r="I97" s="17" t="n">
        <f aca="false">맥본_원가표!R146</f>
        <v>0.7222</v>
      </c>
      <c r="J97" s="16" t="n">
        <f aca="false">맥본_원가표!W146</f>
        <v>126666.666666667</v>
      </c>
      <c r="K97" s="16" t="n">
        <f aca="false">맥본_원가표!X146</f>
        <v>114000</v>
      </c>
      <c r="L97" s="16" t="n">
        <f aca="false">맥본_원가표!Y146</f>
        <v>107666.666666667</v>
      </c>
      <c r="M97" s="16" t="n">
        <f aca="false">맥본_원가표!Z146</f>
        <v>101333.333333333</v>
      </c>
      <c r="N97" s="16" t="n">
        <f aca="false">맥본_원가표!AA146</f>
        <v>3040</v>
      </c>
      <c r="O97" s="14" t="str">
        <f aca="false">맥본_원가표!AC146</f>
        <v>제판비별도</v>
      </c>
      <c r="P97" s="16" t="n">
        <f aca="false">맥본_원가표!AD146</f>
        <v>200</v>
      </c>
      <c r="Q97" s="16" t="n">
        <f aca="false">맥본_원가표!AE146</f>
        <v>300</v>
      </c>
      <c r="R97" s="16" t="n">
        <f aca="false">맥본_원가표!AF146</f>
        <v>150</v>
      </c>
      <c r="S97" s="16" t="n">
        <f aca="false">맥본_원가표!AG146</f>
        <v>50</v>
      </c>
      <c r="T97" s="16" t="n">
        <f aca="false">맥본_원가표!AH146</f>
        <v>100</v>
      </c>
      <c r="U97" s="16" t="n">
        <f aca="false">맥본_원가표!AI146</f>
        <v>200</v>
      </c>
    </row>
    <row r="98" customFormat="false" ht="15" hidden="false" customHeight="true" outlineLevel="0" collapsed="false">
      <c r="A98" s="36"/>
      <c r="B98" s="36"/>
      <c r="C98" s="18" t="s">
        <v>72</v>
      </c>
      <c r="D98" s="19" t="n">
        <f aca="false">맥본_원가표!J147</f>
        <v>5</v>
      </c>
      <c r="E98" s="20" t="n">
        <f aca="false">맥본_원가표!P147</f>
        <v>500</v>
      </c>
      <c r="F98" s="21" t="n">
        <f aca="false">맥본_원가표!I147</f>
        <v>21800</v>
      </c>
      <c r="G98" s="21" t="n">
        <f aca="false">맥본_원가표!O147</f>
        <v>440.24</v>
      </c>
      <c r="H98" s="21" t="n">
        <f aca="false">맥본_원가표!Q147</f>
        <v>1800</v>
      </c>
      <c r="I98" s="22" t="n">
        <f aca="false">맥본_원가표!R147</f>
        <v>0.755422222222222</v>
      </c>
      <c r="J98" s="21" t="n">
        <f aca="false">맥본_원가표!W147</f>
        <v>360000</v>
      </c>
      <c r="K98" s="21" t="n">
        <f aca="false">맥본_원가표!X147</f>
        <v>324000</v>
      </c>
      <c r="L98" s="21" t="n">
        <f aca="false">맥본_원가표!Y147</f>
        <v>306000</v>
      </c>
      <c r="M98" s="21" t="n">
        <f aca="false">맥본_원가표!Z147</f>
        <v>288000</v>
      </c>
      <c r="N98" s="21" t="n">
        <f aca="false">맥본_원가표!AA147</f>
        <v>1440</v>
      </c>
      <c r="O98" s="19" t="str">
        <f aca="false">맥본_원가표!AC147</f>
        <v>제판비별도</v>
      </c>
      <c r="P98" s="21" t="n">
        <f aca="false">맥본_원가표!AD147</f>
        <v>200</v>
      </c>
      <c r="Q98" s="21" t="n">
        <f aca="false">맥본_원가표!AE147</f>
        <v>300</v>
      </c>
      <c r="R98" s="21" t="n">
        <f aca="false">맥본_원가표!AF147</f>
        <v>150</v>
      </c>
      <c r="S98" s="21" t="n">
        <f aca="false">맥본_원가표!AG147</f>
        <v>50</v>
      </c>
      <c r="T98" s="21" t="n">
        <f aca="false">맥본_원가표!AH147</f>
        <v>100</v>
      </c>
      <c r="U98" s="21" t="n">
        <f aca="false">맥본_원가표!AI147</f>
        <v>200</v>
      </c>
    </row>
    <row r="99" customFormat="false" ht="15" hidden="false" customHeight="false" outlineLevel="0" collapsed="false">
      <c r="A99" s="36"/>
      <c r="B99" s="36"/>
      <c r="C99" s="36"/>
      <c r="D99" s="19" t="n">
        <f aca="false">맥본_원가표!J148</f>
        <v>10</v>
      </c>
      <c r="E99" s="20" t="n">
        <f aca="false">맥본_원가표!P148</f>
        <v>500</v>
      </c>
      <c r="F99" s="21" t="n">
        <f aca="false">맥본_원가표!I147</f>
        <v>21800</v>
      </c>
      <c r="G99" s="21" t="n">
        <f aca="false">맥본_원가표!O148</f>
        <v>572.13</v>
      </c>
      <c r="H99" s="21" t="n">
        <f aca="false">맥본_원가표!Q148</f>
        <v>2200</v>
      </c>
      <c r="I99" s="22" t="n">
        <f aca="false">맥본_원가표!R148</f>
        <v>0.739940909090909</v>
      </c>
      <c r="J99" s="21" t="n">
        <f aca="false">맥본_원가표!W148</f>
        <v>220000</v>
      </c>
      <c r="K99" s="21" t="n">
        <f aca="false">맥본_원가표!X148</f>
        <v>198000</v>
      </c>
      <c r="L99" s="21" t="n">
        <f aca="false">맥본_원가표!Y148</f>
        <v>187000</v>
      </c>
      <c r="M99" s="21" t="n">
        <f aca="false">맥본_원가표!Z148</f>
        <v>176000</v>
      </c>
      <c r="N99" s="21" t="n">
        <f aca="false">맥본_원가표!AA148</f>
        <v>1760</v>
      </c>
      <c r="O99" s="19" t="str">
        <f aca="false">맥본_원가표!AC148</f>
        <v>제판비별도</v>
      </c>
      <c r="P99" s="21" t="n">
        <f aca="false">맥본_원가표!AD148</f>
        <v>200</v>
      </c>
      <c r="Q99" s="21" t="n">
        <f aca="false">맥본_원가표!AE148</f>
        <v>300</v>
      </c>
      <c r="R99" s="21" t="n">
        <f aca="false">맥본_원가표!AF148</f>
        <v>150</v>
      </c>
      <c r="S99" s="21" t="n">
        <f aca="false">맥본_원가표!AG148</f>
        <v>50</v>
      </c>
      <c r="T99" s="21" t="n">
        <f aca="false">맥본_원가표!AH148</f>
        <v>100</v>
      </c>
      <c r="U99" s="21" t="n">
        <f aca="false">맥본_원가표!AI148</f>
        <v>200</v>
      </c>
    </row>
    <row r="100" customFormat="false" ht="15" hidden="false" customHeight="false" outlineLevel="0" collapsed="false">
      <c r="A100" s="36"/>
      <c r="B100" s="36"/>
      <c r="C100" s="36"/>
      <c r="D100" s="19" t="n">
        <f aca="false">맥본_원가표!J149</f>
        <v>15</v>
      </c>
      <c r="E100" s="20" t="n">
        <f aca="false">맥본_원가표!P149</f>
        <v>500</v>
      </c>
      <c r="F100" s="21" t="n">
        <f aca="false">맥본_원가표!I147</f>
        <v>21800</v>
      </c>
      <c r="G100" s="21" t="n">
        <f aca="false">맥본_원가표!O149</f>
        <v>704.02</v>
      </c>
      <c r="H100" s="21" t="n">
        <f aca="false">맥본_원가표!Q149</f>
        <v>2600</v>
      </c>
      <c r="I100" s="22" t="n">
        <f aca="false">맥본_원가표!R149</f>
        <v>0.729223076923077</v>
      </c>
      <c r="J100" s="21" t="n">
        <f aca="false">맥본_원가표!W149</f>
        <v>173333.333333333</v>
      </c>
      <c r="K100" s="21" t="n">
        <f aca="false">맥본_원가표!X149</f>
        <v>156000</v>
      </c>
      <c r="L100" s="21" t="n">
        <f aca="false">맥본_원가표!Y149</f>
        <v>147333.333333333</v>
      </c>
      <c r="M100" s="21" t="n">
        <f aca="false">맥본_원가표!Z149</f>
        <v>138666.666666667</v>
      </c>
      <c r="N100" s="21" t="n">
        <f aca="false">맥본_원가표!AA149</f>
        <v>2080</v>
      </c>
      <c r="O100" s="19" t="str">
        <f aca="false">맥본_원가표!AC149</f>
        <v>제판비별도</v>
      </c>
      <c r="P100" s="21" t="n">
        <f aca="false">맥본_원가표!AD149</f>
        <v>200</v>
      </c>
      <c r="Q100" s="21" t="n">
        <f aca="false">맥본_원가표!AE149</f>
        <v>300</v>
      </c>
      <c r="R100" s="21" t="n">
        <f aca="false">맥본_원가표!AF149</f>
        <v>150</v>
      </c>
      <c r="S100" s="21" t="n">
        <f aca="false">맥본_원가표!AG149</f>
        <v>50</v>
      </c>
      <c r="T100" s="21" t="n">
        <f aca="false">맥본_원가표!AH149</f>
        <v>100</v>
      </c>
      <c r="U100" s="21" t="n">
        <f aca="false">맥본_원가표!AI149</f>
        <v>200</v>
      </c>
    </row>
    <row r="101" customFormat="false" ht="15" hidden="false" customHeight="false" outlineLevel="0" collapsed="false">
      <c r="A101" s="36"/>
      <c r="B101" s="36"/>
      <c r="C101" s="36"/>
      <c r="D101" s="19" t="n">
        <f aca="false">맥본_원가표!J150</f>
        <v>20</v>
      </c>
      <c r="E101" s="20" t="n">
        <f aca="false">맥본_원가표!P150</f>
        <v>500</v>
      </c>
      <c r="F101" s="21" t="n">
        <f aca="false">맥본_원가표!I147</f>
        <v>21800</v>
      </c>
      <c r="G101" s="21" t="n">
        <f aca="false">맥본_원가표!O150</f>
        <v>835.91</v>
      </c>
      <c r="H101" s="21" t="n">
        <f aca="false">맥본_원가표!Q150</f>
        <v>3000</v>
      </c>
      <c r="I101" s="22" t="n">
        <f aca="false">맥본_원가표!R150</f>
        <v>0.721363333333333</v>
      </c>
      <c r="J101" s="21" t="n">
        <f aca="false">맥본_원가표!W150</f>
        <v>150000</v>
      </c>
      <c r="K101" s="21" t="n">
        <f aca="false">맥본_원가표!X150</f>
        <v>135000</v>
      </c>
      <c r="L101" s="21" t="n">
        <f aca="false">맥본_원가표!Y150</f>
        <v>127500</v>
      </c>
      <c r="M101" s="21" t="n">
        <f aca="false">맥본_원가표!Z150</f>
        <v>120000</v>
      </c>
      <c r="N101" s="21" t="n">
        <f aca="false">맥본_원가표!AA150</f>
        <v>2400</v>
      </c>
      <c r="O101" s="19" t="str">
        <f aca="false">맥본_원가표!AC150</f>
        <v>제판비별도</v>
      </c>
      <c r="P101" s="21" t="n">
        <f aca="false">맥본_원가표!AD150</f>
        <v>200</v>
      </c>
      <c r="Q101" s="21" t="n">
        <f aca="false">맥본_원가표!AE150</f>
        <v>300</v>
      </c>
      <c r="R101" s="21" t="n">
        <f aca="false">맥본_원가표!AF150</f>
        <v>150</v>
      </c>
      <c r="S101" s="21" t="n">
        <f aca="false">맥본_원가표!AG150</f>
        <v>50</v>
      </c>
      <c r="T101" s="21" t="n">
        <f aca="false">맥본_원가표!AH150</f>
        <v>100</v>
      </c>
      <c r="U101" s="21" t="n">
        <f aca="false">맥본_원가표!AI150</f>
        <v>200</v>
      </c>
    </row>
    <row r="102" customFormat="false" ht="15" hidden="false" customHeight="false" outlineLevel="0" collapsed="false">
      <c r="A102" s="36"/>
      <c r="B102" s="36"/>
      <c r="C102" s="18"/>
      <c r="D102" s="19" t="n">
        <f aca="false">맥본_원가표!J151</f>
        <v>30</v>
      </c>
      <c r="E102" s="20" t="n">
        <f aca="false">맥본_원가표!P151</f>
        <v>500</v>
      </c>
      <c r="F102" s="21" t="n">
        <f aca="false">맥본_원가표!I147</f>
        <v>21800</v>
      </c>
      <c r="G102" s="21" t="n">
        <f aca="false">맥본_원가표!O151</f>
        <v>1099.69</v>
      </c>
      <c r="H102" s="21" t="n">
        <f aca="false">맥본_원가표!Q151</f>
        <v>3800</v>
      </c>
      <c r="I102" s="22" t="n">
        <f aca="false">맥본_원가표!R151</f>
        <v>0.710607894736842</v>
      </c>
      <c r="J102" s="21" t="n">
        <f aca="false">맥본_원가표!W151</f>
        <v>126666.666666667</v>
      </c>
      <c r="K102" s="21" t="n">
        <f aca="false">맥본_원가표!X151</f>
        <v>114000</v>
      </c>
      <c r="L102" s="21" t="n">
        <f aca="false">맥본_원가표!Y151</f>
        <v>107666.666666667</v>
      </c>
      <c r="M102" s="21" t="n">
        <f aca="false">맥본_원가표!Z151</f>
        <v>101333.333333333</v>
      </c>
      <c r="N102" s="21" t="n">
        <f aca="false">맥본_원가표!AA151</f>
        <v>3040</v>
      </c>
      <c r="O102" s="19" t="str">
        <f aca="false">맥본_원가표!AC151</f>
        <v>제판비별도</v>
      </c>
      <c r="P102" s="21" t="n">
        <f aca="false">맥본_원가표!AD151</f>
        <v>200</v>
      </c>
      <c r="Q102" s="21" t="n">
        <f aca="false">맥본_원가표!AE151</f>
        <v>300</v>
      </c>
      <c r="R102" s="21" t="n">
        <f aca="false">맥본_원가표!AF151</f>
        <v>150</v>
      </c>
      <c r="S102" s="21" t="n">
        <f aca="false">맥본_원가표!AG151</f>
        <v>50</v>
      </c>
      <c r="T102" s="21" t="n">
        <f aca="false">맥본_원가표!AH151</f>
        <v>100</v>
      </c>
      <c r="U102" s="21" t="n">
        <f aca="false">맥본_원가표!AI151</f>
        <v>200</v>
      </c>
    </row>
    <row r="103" customFormat="false" ht="15" hidden="false" customHeight="true" outlineLevel="0" collapsed="false">
      <c r="A103" s="36"/>
      <c r="B103" s="36"/>
      <c r="C103" s="24" t="s">
        <v>73</v>
      </c>
      <c r="D103" s="14" t="n">
        <f aca="false">맥본_원가표!J152</f>
        <v>5</v>
      </c>
      <c r="E103" s="15" t="n">
        <f aca="false">맥본_원가표!P152</f>
        <v>500</v>
      </c>
      <c r="F103" s="16" t="n">
        <f aca="false">맥본_원가표!I152</f>
        <v>21800</v>
      </c>
      <c r="G103" s="16" t="n">
        <f aca="false">맥본_원가표!O152</f>
        <v>440.24</v>
      </c>
      <c r="H103" s="16" t="n">
        <f aca="false">맥본_원가표!Q152</f>
        <v>1800</v>
      </c>
      <c r="I103" s="17" t="n">
        <f aca="false">맥본_원가표!R152</f>
        <v>0.755422222222222</v>
      </c>
      <c r="J103" s="16" t="n">
        <f aca="false">맥본_원가표!W152</f>
        <v>360000</v>
      </c>
      <c r="K103" s="16" t="n">
        <f aca="false">맥본_원가표!X152</f>
        <v>324000</v>
      </c>
      <c r="L103" s="16" t="n">
        <f aca="false">맥본_원가표!Y152</f>
        <v>306000</v>
      </c>
      <c r="M103" s="16" t="n">
        <f aca="false">맥본_원가표!Z152</f>
        <v>288000</v>
      </c>
      <c r="N103" s="16" t="n">
        <f aca="false">맥본_원가표!AA152</f>
        <v>1440</v>
      </c>
      <c r="O103" s="14" t="str">
        <f aca="false">맥본_원가표!AC152</f>
        <v>제판비별도</v>
      </c>
      <c r="P103" s="16" t="n">
        <f aca="false">맥본_원가표!AD152</f>
        <v>200</v>
      </c>
      <c r="Q103" s="16" t="n">
        <f aca="false">맥본_원가표!AE152</f>
        <v>300</v>
      </c>
      <c r="R103" s="16" t="n">
        <f aca="false">맥본_원가표!AF152</f>
        <v>150</v>
      </c>
      <c r="S103" s="16" t="n">
        <f aca="false">맥본_원가표!AG152</f>
        <v>50</v>
      </c>
      <c r="T103" s="16" t="n">
        <f aca="false">맥본_원가표!AH152</f>
        <v>100</v>
      </c>
      <c r="U103" s="16" t="n">
        <f aca="false">맥본_원가표!AI152</f>
        <v>200</v>
      </c>
    </row>
    <row r="104" customFormat="false" ht="15" hidden="false" customHeight="false" outlineLevel="0" collapsed="false">
      <c r="A104" s="36"/>
      <c r="B104" s="36"/>
      <c r="C104" s="36"/>
      <c r="D104" s="14" t="n">
        <f aca="false">맥본_원가표!J153</f>
        <v>10</v>
      </c>
      <c r="E104" s="15" t="n">
        <f aca="false">맥본_원가표!P153</f>
        <v>500</v>
      </c>
      <c r="F104" s="16" t="n">
        <f aca="false">맥본_원가표!I152</f>
        <v>21800</v>
      </c>
      <c r="G104" s="16" t="n">
        <f aca="false">맥본_원가표!O153</f>
        <v>572.13</v>
      </c>
      <c r="H104" s="16" t="n">
        <f aca="false">맥본_원가표!Q153</f>
        <v>2200</v>
      </c>
      <c r="I104" s="17" t="n">
        <f aca="false">맥본_원가표!R153</f>
        <v>0.739940909090909</v>
      </c>
      <c r="J104" s="16" t="n">
        <f aca="false">맥본_원가표!W153</f>
        <v>220000</v>
      </c>
      <c r="K104" s="16" t="n">
        <f aca="false">맥본_원가표!X153</f>
        <v>198000</v>
      </c>
      <c r="L104" s="16" t="n">
        <f aca="false">맥본_원가표!Y153</f>
        <v>187000</v>
      </c>
      <c r="M104" s="16" t="n">
        <f aca="false">맥본_원가표!Z153</f>
        <v>176000</v>
      </c>
      <c r="N104" s="16" t="n">
        <f aca="false">맥본_원가표!AA153</f>
        <v>1760</v>
      </c>
      <c r="O104" s="14" t="str">
        <f aca="false">맥본_원가표!AC153</f>
        <v>제판비별도</v>
      </c>
      <c r="P104" s="16" t="n">
        <f aca="false">맥본_원가표!AD153</f>
        <v>200</v>
      </c>
      <c r="Q104" s="16" t="n">
        <f aca="false">맥본_원가표!AE153</f>
        <v>300</v>
      </c>
      <c r="R104" s="16" t="n">
        <f aca="false">맥본_원가표!AF153</f>
        <v>150</v>
      </c>
      <c r="S104" s="16" t="n">
        <f aca="false">맥본_원가표!AG153</f>
        <v>50</v>
      </c>
      <c r="T104" s="16" t="n">
        <f aca="false">맥본_원가표!AH153</f>
        <v>100</v>
      </c>
      <c r="U104" s="16" t="n">
        <f aca="false">맥본_원가표!AI153</f>
        <v>200</v>
      </c>
    </row>
    <row r="105" customFormat="false" ht="15" hidden="false" customHeight="false" outlineLevel="0" collapsed="false">
      <c r="A105" s="36"/>
      <c r="B105" s="36"/>
      <c r="C105" s="36"/>
      <c r="D105" s="14" t="n">
        <f aca="false">맥본_원가표!J154</f>
        <v>15</v>
      </c>
      <c r="E105" s="15" t="n">
        <f aca="false">맥본_원가표!P154</f>
        <v>500</v>
      </c>
      <c r="F105" s="16" t="n">
        <f aca="false">맥본_원가표!I152</f>
        <v>21800</v>
      </c>
      <c r="G105" s="16" t="n">
        <f aca="false">맥본_원가표!O154</f>
        <v>659.97</v>
      </c>
      <c r="H105" s="16" t="n">
        <f aca="false">맥본_원가표!Q154</f>
        <v>2600</v>
      </c>
      <c r="I105" s="17" t="n">
        <f aca="false">맥본_원가표!R154</f>
        <v>0.746165384615385</v>
      </c>
      <c r="J105" s="16" t="n">
        <f aca="false">맥본_원가표!W154</f>
        <v>173333.333333333</v>
      </c>
      <c r="K105" s="16" t="n">
        <f aca="false">맥본_원가표!X154</f>
        <v>156000</v>
      </c>
      <c r="L105" s="16" t="n">
        <f aca="false">맥본_원가표!Y154</f>
        <v>147333.333333333</v>
      </c>
      <c r="M105" s="16" t="n">
        <f aca="false">맥본_원가표!Z154</f>
        <v>138666.666666667</v>
      </c>
      <c r="N105" s="16" t="n">
        <f aca="false">맥본_원가표!AA154</f>
        <v>2080</v>
      </c>
      <c r="O105" s="14" t="str">
        <f aca="false">맥본_원가표!AC154</f>
        <v>제판비별도</v>
      </c>
      <c r="P105" s="16" t="n">
        <f aca="false">맥본_원가표!AD154</f>
        <v>200</v>
      </c>
      <c r="Q105" s="16" t="n">
        <f aca="false">맥본_원가표!AE154</f>
        <v>300</v>
      </c>
      <c r="R105" s="16" t="n">
        <f aca="false">맥본_원가표!AF154</f>
        <v>150</v>
      </c>
      <c r="S105" s="16" t="n">
        <f aca="false">맥본_원가표!AG154</f>
        <v>50</v>
      </c>
      <c r="T105" s="16" t="n">
        <f aca="false">맥본_원가표!AH154</f>
        <v>100</v>
      </c>
      <c r="U105" s="16" t="n">
        <f aca="false">맥본_원가표!AI154</f>
        <v>200</v>
      </c>
    </row>
    <row r="106" customFormat="false" ht="15" hidden="false" customHeight="false" outlineLevel="0" collapsed="false">
      <c r="A106" s="36"/>
      <c r="B106" s="36"/>
      <c r="C106" s="36"/>
      <c r="D106" s="14" t="n">
        <f aca="false">맥본_원가표!J155</f>
        <v>20</v>
      </c>
      <c r="E106" s="15" t="n">
        <f aca="false">맥본_원가표!P155</f>
        <v>500</v>
      </c>
      <c r="F106" s="16" t="n">
        <f aca="false">맥본_원가표!I152</f>
        <v>21800</v>
      </c>
      <c r="G106" s="16" t="n">
        <f aca="false">맥본_원가표!O155</f>
        <v>791.86</v>
      </c>
      <c r="H106" s="16" t="n">
        <f aca="false">맥본_원가표!Q155</f>
        <v>3000</v>
      </c>
      <c r="I106" s="17" t="n">
        <f aca="false">맥본_원가표!R155</f>
        <v>0.736046666666667</v>
      </c>
      <c r="J106" s="16" t="n">
        <f aca="false">맥본_원가표!W155</f>
        <v>150000</v>
      </c>
      <c r="K106" s="16" t="n">
        <f aca="false">맥본_원가표!X155</f>
        <v>135000</v>
      </c>
      <c r="L106" s="16" t="n">
        <f aca="false">맥본_원가표!Y155</f>
        <v>127500</v>
      </c>
      <c r="M106" s="16" t="n">
        <f aca="false">맥본_원가표!Z155</f>
        <v>120000</v>
      </c>
      <c r="N106" s="16" t="n">
        <f aca="false">맥본_원가표!AA155</f>
        <v>2400</v>
      </c>
      <c r="O106" s="14" t="str">
        <f aca="false">맥본_원가표!AC155</f>
        <v>제판비별도</v>
      </c>
      <c r="P106" s="16" t="n">
        <f aca="false">맥본_원가표!AD155</f>
        <v>200</v>
      </c>
      <c r="Q106" s="16" t="n">
        <f aca="false">맥본_원가표!AE155</f>
        <v>300</v>
      </c>
      <c r="R106" s="16" t="n">
        <f aca="false">맥본_원가표!AF155</f>
        <v>150</v>
      </c>
      <c r="S106" s="16" t="n">
        <f aca="false">맥본_원가표!AG155</f>
        <v>50</v>
      </c>
      <c r="T106" s="16" t="n">
        <f aca="false">맥본_원가표!AH155</f>
        <v>100</v>
      </c>
      <c r="U106" s="16" t="n">
        <f aca="false">맥본_원가표!AI155</f>
        <v>200</v>
      </c>
    </row>
    <row r="107" customFormat="false" ht="15" hidden="false" customHeight="false" outlineLevel="0" collapsed="false">
      <c r="A107" s="36"/>
      <c r="B107" s="36"/>
      <c r="C107" s="36"/>
      <c r="D107" s="14" t="n">
        <f aca="false">맥본_원가표!J156</f>
        <v>30</v>
      </c>
      <c r="E107" s="15" t="n">
        <f aca="false">맥본_원가표!P156</f>
        <v>500</v>
      </c>
      <c r="F107" s="16" t="n">
        <f aca="false">맥본_원가표!I152</f>
        <v>21800</v>
      </c>
      <c r="G107" s="16" t="n">
        <f aca="false">맥본_원가표!O156</f>
        <v>1055.64</v>
      </c>
      <c r="H107" s="16" t="n">
        <f aca="false">맥본_원가표!Q156</f>
        <v>3800</v>
      </c>
      <c r="I107" s="17" t="n">
        <f aca="false">맥본_원가표!R156</f>
        <v>0.7222</v>
      </c>
      <c r="J107" s="16" t="n">
        <f aca="false">맥본_원가표!W156</f>
        <v>126666.666666667</v>
      </c>
      <c r="K107" s="16" t="n">
        <f aca="false">맥본_원가표!X156</f>
        <v>114000</v>
      </c>
      <c r="L107" s="16" t="n">
        <f aca="false">맥본_원가표!Y156</f>
        <v>107666.666666667</v>
      </c>
      <c r="M107" s="16" t="n">
        <f aca="false">맥본_원가표!Z156</f>
        <v>101333.333333333</v>
      </c>
      <c r="N107" s="16" t="n">
        <f aca="false">맥본_원가표!AA156</f>
        <v>3040</v>
      </c>
      <c r="O107" s="14" t="str">
        <f aca="false">맥본_원가표!AC156</f>
        <v>제판비별도</v>
      </c>
      <c r="P107" s="16" t="n">
        <f aca="false">맥본_원가표!AD156</f>
        <v>200</v>
      </c>
      <c r="Q107" s="16" t="n">
        <f aca="false">맥본_원가표!AE156</f>
        <v>300</v>
      </c>
      <c r="R107" s="16" t="n">
        <f aca="false">맥본_원가표!AF156</f>
        <v>150</v>
      </c>
      <c r="S107" s="16" t="n">
        <f aca="false">맥본_원가표!AG156</f>
        <v>50</v>
      </c>
      <c r="T107" s="16" t="n">
        <f aca="false">맥본_원가표!AH156</f>
        <v>100</v>
      </c>
      <c r="U107" s="16" t="n">
        <f aca="false">맥본_원가표!AI156</f>
        <v>200</v>
      </c>
    </row>
    <row r="108" customFormat="false" ht="15" hidden="false" customHeight="true" outlineLevel="0" collapsed="false">
      <c r="A108" s="37" t="s">
        <v>74</v>
      </c>
      <c r="B108" s="28" t="s">
        <v>74</v>
      </c>
      <c r="C108" s="38" t="s">
        <v>75</v>
      </c>
      <c r="D108" s="30" t="n">
        <f aca="false">맥본_원가표!J163</f>
        <v>5</v>
      </c>
      <c r="E108" s="31" t="n">
        <f aca="false">맥본_원가표!P163</f>
        <v>10000</v>
      </c>
      <c r="F108" s="32" t="n">
        <f aca="false">맥본_원가표!I163</f>
        <v>28880</v>
      </c>
      <c r="G108" s="32" t="n">
        <f aca="false">맥본_원가표!O163</f>
        <v>483.074</v>
      </c>
      <c r="H108" s="32" t="n">
        <f aca="false">맥본_원가표!Q163</f>
        <v>1300</v>
      </c>
      <c r="I108" s="33" t="n">
        <f aca="false">맥본_원가표!R163</f>
        <v>0.628404615384615</v>
      </c>
      <c r="J108" s="32" t="n">
        <f aca="false">맥본_원가표!W163</f>
        <v>260000</v>
      </c>
      <c r="K108" s="32" t="n">
        <f aca="false">맥본_원가표!X163</f>
        <v>234000</v>
      </c>
      <c r="L108" s="32" t="n">
        <f aca="false">맥본_원가표!Y163</f>
        <v>221000</v>
      </c>
      <c r="M108" s="32" t="n">
        <f aca="false">맥본_원가표!Z163</f>
        <v>208000</v>
      </c>
      <c r="N108" s="32" t="n">
        <f aca="false">맥본_원가표!AA163</f>
        <v>1040</v>
      </c>
      <c r="O108" s="30" t="str">
        <f aca="false">맥본_원가표!AC163</f>
        <v>제판비별도</v>
      </c>
      <c r="P108" s="32" t="n">
        <f aca="false">맥본_원가표!AD163</f>
        <v>200</v>
      </c>
      <c r="Q108" s="32" t="n">
        <f aca="false">맥본_원가표!AE163</f>
        <v>300</v>
      </c>
      <c r="R108" s="32" t="n">
        <f aca="false">맥본_원가표!AF163</f>
        <v>150</v>
      </c>
      <c r="S108" s="32" t="n">
        <f aca="false">맥본_원가표!AG163</f>
        <v>50</v>
      </c>
      <c r="T108" s="32" t="n">
        <f aca="false">맥본_원가표!AH163</f>
        <v>100</v>
      </c>
      <c r="U108" s="32" t="n">
        <f aca="false">맥본_원가표!AI163</f>
        <v>200</v>
      </c>
    </row>
    <row r="109" customFormat="false" ht="15" hidden="false" customHeight="false" outlineLevel="0" collapsed="false">
      <c r="A109" s="37"/>
      <c r="B109" s="37"/>
      <c r="C109" s="37"/>
      <c r="D109" s="19" t="n">
        <f aca="false">맥본_원가표!J164</f>
        <v>10</v>
      </c>
      <c r="E109" s="20" t="n">
        <f aca="false">맥본_원가표!P164</f>
        <v>5000</v>
      </c>
      <c r="F109" s="21" t="n">
        <f aca="false">맥본_원가표!I163</f>
        <v>28880</v>
      </c>
      <c r="G109" s="21" t="n">
        <f aca="false">맥본_원가표!O164</f>
        <v>657.798</v>
      </c>
      <c r="H109" s="21" t="n">
        <f aca="false">맥본_원가표!Q164</f>
        <v>1700</v>
      </c>
      <c r="I109" s="22" t="n">
        <f aca="false">맥본_원가표!R164</f>
        <v>0.61306</v>
      </c>
      <c r="J109" s="21" t="n">
        <f aca="false">맥본_원가표!W164</f>
        <v>170000</v>
      </c>
      <c r="K109" s="21" t="n">
        <f aca="false">맥본_원가표!X164</f>
        <v>153000</v>
      </c>
      <c r="L109" s="21" t="n">
        <f aca="false">맥본_원가표!Y164</f>
        <v>144500</v>
      </c>
      <c r="M109" s="21" t="n">
        <f aca="false">맥본_원가표!Z164</f>
        <v>136000</v>
      </c>
      <c r="N109" s="21" t="n">
        <f aca="false">맥본_원가표!AA164</f>
        <v>1360</v>
      </c>
      <c r="O109" s="19" t="str">
        <f aca="false">맥본_원가표!AC164</f>
        <v>제판비별도</v>
      </c>
      <c r="P109" s="21" t="n">
        <f aca="false">맥본_원가표!AD164</f>
        <v>200</v>
      </c>
      <c r="Q109" s="21" t="n">
        <f aca="false">맥본_원가표!AE164</f>
        <v>300</v>
      </c>
      <c r="R109" s="21" t="n">
        <f aca="false">맥본_원가표!AF164</f>
        <v>150</v>
      </c>
      <c r="S109" s="21" t="n">
        <f aca="false">맥본_원가표!AG164</f>
        <v>50</v>
      </c>
      <c r="T109" s="21" t="n">
        <f aca="false">맥본_원가표!AH164</f>
        <v>100</v>
      </c>
      <c r="U109" s="21" t="n">
        <f aca="false">맥본_원가표!AI164</f>
        <v>200</v>
      </c>
    </row>
    <row r="110" customFormat="false" ht="15" hidden="false" customHeight="false" outlineLevel="0" collapsed="false">
      <c r="A110" s="37"/>
      <c r="B110" s="37"/>
      <c r="C110" s="37"/>
      <c r="D110" s="19" t="n">
        <f aca="false">맥본_원가표!J165</f>
        <v>15</v>
      </c>
      <c r="E110" s="20" t="n">
        <f aca="false">맥본_원가표!P165</f>
        <v>3333.33333333333</v>
      </c>
      <c r="F110" s="21" t="n">
        <f aca="false">맥본_원가표!I163</f>
        <v>28880</v>
      </c>
      <c r="G110" s="21" t="n">
        <f aca="false">맥본_원가표!O165</f>
        <v>788.472</v>
      </c>
      <c r="H110" s="21" t="n">
        <f aca="false">맥본_원가표!Q165</f>
        <v>2100</v>
      </c>
      <c r="I110" s="22" t="n">
        <f aca="false">맥본_원가표!R165</f>
        <v>0.624537142857143</v>
      </c>
      <c r="J110" s="21" t="n">
        <f aca="false">맥본_원가표!W165</f>
        <v>140000</v>
      </c>
      <c r="K110" s="21" t="n">
        <f aca="false">맥본_원가표!X165</f>
        <v>126000</v>
      </c>
      <c r="L110" s="21" t="n">
        <f aca="false">맥본_원가표!Y165</f>
        <v>119000</v>
      </c>
      <c r="M110" s="21" t="n">
        <f aca="false">맥본_원가표!Z165</f>
        <v>112000</v>
      </c>
      <c r="N110" s="21" t="n">
        <f aca="false">맥본_원가표!AA165</f>
        <v>1680</v>
      </c>
      <c r="O110" s="19" t="str">
        <f aca="false">맥본_원가표!AC165</f>
        <v>제판비별도</v>
      </c>
      <c r="P110" s="21" t="n">
        <f aca="false">맥본_원가표!AD165</f>
        <v>200</v>
      </c>
      <c r="Q110" s="21" t="n">
        <f aca="false">맥본_원가표!AE165</f>
        <v>300</v>
      </c>
      <c r="R110" s="21" t="n">
        <f aca="false">맥본_원가표!AF165</f>
        <v>150</v>
      </c>
      <c r="S110" s="21" t="n">
        <f aca="false">맥본_원가표!AG165</f>
        <v>50</v>
      </c>
      <c r="T110" s="21" t="n">
        <f aca="false">맥본_원가표!AH165</f>
        <v>100</v>
      </c>
      <c r="U110" s="21" t="n">
        <f aca="false">맥본_원가표!AI165</f>
        <v>200</v>
      </c>
    </row>
    <row r="111" customFormat="false" ht="15" hidden="false" customHeight="false" outlineLevel="0" collapsed="false">
      <c r="A111" s="37"/>
      <c r="B111" s="37"/>
      <c r="C111" s="37"/>
      <c r="D111" s="19" t="n">
        <f aca="false">맥본_원가표!J166</f>
        <v>20</v>
      </c>
      <c r="E111" s="20" t="n">
        <f aca="false">맥본_원가표!P166</f>
        <v>2500</v>
      </c>
      <c r="F111" s="21" t="n">
        <f aca="false">맥본_원가표!I163</f>
        <v>28880</v>
      </c>
      <c r="G111" s="21" t="n">
        <f aca="false">맥본_원가표!O166</f>
        <v>963.196</v>
      </c>
      <c r="H111" s="21" t="n">
        <f aca="false">맥본_원가표!Q166</f>
        <v>2500</v>
      </c>
      <c r="I111" s="22" t="n">
        <f aca="false">맥본_원가표!R166</f>
        <v>0.6147216</v>
      </c>
      <c r="J111" s="21" t="n">
        <f aca="false">맥본_원가표!W166</f>
        <v>125000</v>
      </c>
      <c r="K111" s="21" t="n">
        <f aca="false">맥본_원가표!X166</f>
        <v>112500</v>
      </c>
      <c r="L111" s="21" t="n">
        <f aca="false">맥본_원가표!Y166</f>
        <v>106250</v>
      </c>
      <c r="M111" s="21" t="n">
        <f aca="false">맥본_원가표!Z166</f>
        <v>100000</v>
      </c>
      <c r="N111" s="21" t="n">
        <f aca="false">맥본_원가표!AA166</f>
        <v>2000</v>
      </c>
      <c r="O111" s="19" t="str">
        <f aca="false">맥본_원가표!AC166</f>
        <v>제판비별도</v>
      </c>
      <c r="P111" s="21" t="n">
        <f aca="false">맥본_원가표!AD166</f>
        <v>200</v>
      </c>
      <c r="Q111" s="21" t="n">
        <f aca="false">맥본_원가표!AE166</f>
        <v>300</v>
      </c>
      <c r="R111" s="21" t="n">
        <f aca="false">맥본_원가표!AF166</f>
        <v>150</v>
      </c>
      <c r="S111" s="21" t="n">
        <f aca="false">맥본_원가표!AG166</f>
        <v>50</v>
      </c>
      <c r="T111" s="21" t="n">
        <f aca="false">맥본_원가표!AH166</f>
        <v>100</v>
      </c>
      <c r="U111" s="21" t="n">
        <f aca="false">맥본_원가표!AI166</f>
        <v>200</v>
      </c>
    </row>
    <row r="112" customFormat="false" ht="15" hidden="false" customHeight="false" outlineLevel="0" collapsed="false">
      <c r="A112" s="37"/>
      <c r="B112" s="37"/>
      <c r="C112" s="38"/>
      <c r="D112" s="19" t="n">
        <f aca="false">맥본_원가표!J167</f>
        <v>30</v>
      </c>
      <c r="E112" s="20" t="n">
        <f aca="false">맥본_원가표!P167</f>
        <v>1666.66666666667</v>
      </c>
      <c r="F112" s="21" t="n">
        <f aca="false">맥본_원가표!I163</f>
        <v>28880</v>
      </c>
      <c r="G112" s="21" t="n">
        <f aca="false">맥본_원가표!O167</f>
        <v>1312.644</v>
      </c>
      <c r="H112" s="21" t="n">
        <f aca="false">맥본_원가표!Q167</f>
        <v>3300</v>
      </c>
      <c r="I112" s="22" t="n">
        <f aca="false">맥본_원가표!R167</f>
        <v>0.602229090909091</v>
      </c>
      <c r="J112" s="21" t="n">
        <f aca="false">맥본_원가표!W167</f>
        <v>110000</v>
      </c>
      <c r="K112" s="21" t="n">
        <f aca="false">맥본_원가표!X167</f>
        <v>99000</v>
      </c>
      <c r="L112" s="21" t="n">
        <f aca="false">맥본_원가표!Y167</f>
        <v>93500</v>
      </c>
      <c r="M112" s="21" t="n">
        <f aca="false">맥본_원가표!Z167</f>
        <v>88000</v>
      </c>
      <c r="N112" s="21" t="n">
        <f aca="false">맥본_원가표!AA167</f>
        <v>2640</v>
      </c>
      <c r="O112" s="19" t="str">
        <f aca="false">맥본_원가표!AC167</f>
        <v>제판비별도</v>
      </c>
      <c r="P112" s="21" t="n">
        <f aca="false">맥본_원가표!AD167</f>
        <v>200</v>
      </c>
      <c r="Q112" s="21" t="n">
        <f aca="false">맥본_원가표!AE167</f>
        <v>300</v>
      </c>
      <c r="R112" s="21" t="n">
        <f aca="false">맥본_원가표!AF167</f>
        <v>150</v>
      </c>
      <c r="S112" s="21" t="n">
        <f aca="false">맥본_원가표!AG167</f>
        <v>50</v>
      </c>
      <c r="T112" s="21" t="n">
        <f aca="false">맥본_원가표!AH167</f>
        <v>100</v>
      </c>
      <c r="U112" s="21" t="n">
        <f aca="false">맥본_원가표!AI167</f>
        <v>200</v>
      </c>
    </row>
    <row r="113" customFormat="false" ht="15" hidden="false" customHeight="true" outlineLevel="0" collapsed="false">
      <c r="A113" s="37"/>
      <c r="B113" s="37"/>
      <c r="C113" s="24" t="s">
        <v>76</v>
      </c>
      <c r="D113" s="14" t="n">
        <f aca="false">맥본_원가표!J168</f>
        <v>5</v>
      </c>
      <c r="E113" s="15" t="n">
        <f aca="false">맥본_원가표!P168</f>
        <v>10000</v>
      </c>
      <c r="F113" s="16" t="n">
        <f aca="false">맥본_원가표!I168</f>
        <v>28880</v>
      </c>
      <c r="G113" s="16" t="n">
        <f aca="false">맥본_원가표!O168</f>
        <v>483.074</v>
      </c>
      <c r="H113" s="16" t="n">
        <f aca="false">맥본_원가표!Q168</f>
        <v>1300</v>
      </c>
      <c r="I113" s="17" t="n">
        <f aca="false">맥본_원가표!R168</f>
        <v>0.628404615384615</v>
      </c>
      <c r="J113" s="16" t="n">
        <f aca="false">맥본_원가표!W168</f>
        <v>260000</v>
      </c>
      <c r="K113" s="16" t="n">
        <f aca="false">맥본_원가표!X168</f>
        <v>234000</v>
      </c>
      <c r="L113" s="16" t="n">
        <f aca="false">맥본_원가표!Y168</f>
        <v>221000</v>
      </c>
      <c r="M113" s="16" t="n">
        <f aca="false">맥본_원가표!Z168</f>
        <v>208000</v>
      </c>
      <c r="N113" s="16" t="n">
        <f aca="false">맥본_원가표!AA168</f>
        <v>1040</v>
      </c>
      <c r="O113" s="14" t="str">
        <f aca="false">맥본_원가표!AC168</f>
        <v>제판비별도</v>
      </c>
      <c r="P113" s="16" t="n">
        <f aca="false">맥본_원가표!AD168</f>
        <v>200</v>
      </c>
      <c r="Q113" s="16" t="n">
        <f aca="false">맥본_원가표!AE168</f>
        <v>300</v>
      </c>
      <c r="R113" s="16" t="n">
        <f aca="false">맥본_원가표!AF168</f>
        <v>150</v>
      </c>
      <c r="S113" s="16" t="n">
        <f aca="false">맥본_원가표!AG168</f>
        <v>50</v>
      </c>
      <c r="T113" s="16" t="n">
        <f aca="false">맥본_원가표!AH168</f>
        <v>100</v>
      </c>
      <c r="U113" s="16" t="n">
        <f aca="false">맥본_원가표!AI168</f>
        <v>200</v>
      </c>
    </row>
    <row r="114" customFormat="false" ht="15" hidden="false" customHeight="false" outlineLevel="0" collapsed="false">
      <c r="A114" s="37"/>
      <c r="B114" s="37"/>
      <c r="C114" s="37"/>
      <c r="D114" s="14" t="n">
        <f aca="false">맥본_원가표!J169</f>
        <v>10</v>
      </c>
      <c r="E114" s="15" t="n">
        <f aca="false">맥본_원가표!P169</f>
        <v>5000</v>
      </c>
      <c r="F114" s="16" t="n">
        <f aca="false">맥본_원가표!I168</f>
        <v>28880</v>
      </c>
      <c r="G114" s="16" t="n">
        <f aca="false">맥본_원가표!O169</f>
        <v>657.798</v>
      </c>
      <c r="H114" s="16" t="n">
        <f aca="false">맥본_원가표!Q169</f>
        <v>1700</v>
      </c>
      <c r="I114" s="17" t="n">
        <f aca="false">맥본_원가표!R169</f>
        <v>0.61306</v>
      </c>
      <c r="J114" s="16" t="n">
        <f aca="false">맥본_원가표!W169</f>
        <v>170000</v>
      </c>
      <c r="K114" s="16" t="n">
        <f aca="false">맥본_원가표!X169</f>
        <v>153000</v>
      </c>
      <c r="L114" s="16" t="n">
        <f aca="false">맥본_원가표!Y169</f>
        <v>144500</v>
      </c>
      <c r="M114" s="16" t="n">
        <f aca="false">맥본_원가표!Z169</f>
        <v>136000</v>
      </c>
      <c r="N114" s="16" t="n">
        <f aca="false">맥본_원가표!AA169</f>
        <v>1360</v>
      </c>
      <c r="O114" s="14" t="str">
        <f aca="false">맥본_원가표!AC169</f>
        <v>제판비별도</v>
      </c>
      <c r="P114" s="16" t="n">
        <f aca="false">맥본_원가표!AD169</f>
        <v>200</v>
      </c>
      <c r="Q114" s="16" t="n">
        <f aca="false">맥본_원가표!AE169</f>
        <v>300</v>
      </c>
      <c r="R114" s="16" t="n">
        <f aca="false">맥본_원가표!AF169</f>
        <v>150</v>
      </c>
      <c r="S114" s="16" t="n">
        <f aca="false">맥본_원가표!AG169</f>
        <v>50</v>
      </c>
      <c r="T114" s="16" t="n">
        <f aca="false">맥본_원가표!AH169</f>
        <v>100</v>
      </c>
      <c r="U114" s="16" t="n">
        <f aca="false">맥본_원가표!AI169</f>
        <v>200</v>
      </c>
    </row>
    <row r="115" customFormat="false" ht="15" hidden="false" customHeight="false" outlineLevel="0" collapsed="false">
      <c r="A115" s="37"/>
      <c r="B115" s="37"/>
      <c r="C115" s="37"/>
      <c r="D115" s="14" t="n">
        <f aca="false">맥본_원가표!J170</f>
        <v>15</v>
      </c>
      <c r="E115" s="15" t="n">
        <f aca="false">맥본_원가표!P170</f>
        <v>3333.33333333333</v>
      </c>
      <c r="F115" s="16" t="n">
        <f aca="false">맥본_원가표!I168</f>
        <v>28880</v>
      </c>
      <c r="G115" s="16" t="n">
        <f aca="false">맥본_원가표!O170</f>
        <v>788.472</v>
      </c>
      <c r="H115" s="16" t="n">
        <f aca="false">맥본_원가표!Q170</f>
        <v>2100</v>
      </c>
      <c r="I115" s="17" t="n">
        <f aca="false">맥본_원가표!R170</f>
        <v>0.624537142857143</v>
      </c>
      <c r="J115" s="16" t="n">
        <f aca="false">맥본_원가표!W170</f>
        <v>140000</v>
      </c>
      <c r="K115" s="16" t="n">
        <f aca="false">맥본_원가표!X170</f>
        <v>126000</v>
      </c>
      <c r="L115" s="16" t="n">
        <f aca="false">맥본_원가표!Y170</f>
        <v>119000</v>
      </c>
      <c r="M115" s="16" t="n">
        <f aca="false">맥본_원가표!Z170</f>
        <v>112000</v>
      </c>
      <c r="N115" s="16" t="n">
        <f aca="false">맥본_원가표!AA170</f>
        <v>1680</v>
      </c>
      <c r="O115" s="14" t="str">
        <f aca="false">맥본_원가표!AC170</f>
        <v>제판비별도</v>
      </c>
      <c r="P115" s="16" t="n">
        <f aca="false">맥본_원가표!AD170</f>
        <v>200</v>
      </c>
      <c r="Q115" s="16" t="n">
        <f aca="false">맥본_원가표!AE170</f>
        <v>300</v>
      </c>
      <c r="R115" s="16" t="n">
        <f aca="false">맥본_원가표!AF170</f>
        <v>150</v>
      </c>
      <c r="S115" s="16" t="n">
        <f aca="false">맥본_원가표!AG170</f>
        <v>50</v>
      </c>
      <c r="T115" s="16" t="n">
        <f aca="false">맥본_원가표!AH170</f>
        <v>100</v>
      </c>
      <c r="U115" s="16" t="n">
        <f aca="false">맥본_원가표!AI170</f>
        <v>200</v>
      </c>
    </row>
    <row r="116" customFormat="false" ht="15" hidden="false" customHeight="false" outlineLevel="0" collapsed="false">
      <c r="A116" s="37"/>
      <c r="B116" s="37"/>
      <c r="C116" s="37"/>
      <c r="D116" s="14" t="n">
        <f aca="false">맥본_원가표!J171</f>
        <v>20</v>
      </c>
      <c r="E116" s="15" t="n">
        <f aca="false">맥본_원가표!P171</f>
        <v>2500</v>
      </c>
      <c r="F116" s="16" t="n">
        <f aca="false">맥본_원가표!I168</f>
        <v>28880</v>
      </c>
      <c r="G116" s="16" t="n">
        <f aca="false">맥본_원가표!O171</f>
        <v>963.196</v>
      </c>
      <c r="H116" s="16" t="n">
        <f aca="false">맥본_원가표!Q171</f>
        <v>2500</v>
      </c>
      <c r="I116" s="17" t="n">
        <f aca="false">맥본_원가표!R171</f>
        <v>0.6147216</v>
      </c>
      <c r="J116" s="16" t="n">
        <f aca="false">맥본_원가표!W171</f>
        <v>125000</v>
      </c>
      <c r="K116" s="16" t="n">
        <f aca="false">맥본_원가표!X171</f>
        <v>112500</v>
      </c>
      <c r="L116" s="16" t="n">
        <f aca="false">맥본_원가표!Y171</f>
        <v>106250</v>
      </c>
      <c r="M116" s="16" t="n">
        <f aca="false">맥본_원가표!Z171</f>
        <v>100000</v>
      </c>
      <c r="N116" s="16" t="n">
        <f aca="false">맥본_원가표!AA171</f>
        <v>2000</v>
      </c>
      <c r="O116" s="14" t="str">
        <f aca="false">맥본_원가표!AC171</f>
        <v>제판비별도</v>
      </c>
      <c r="P116" s="16" t="n">
        <f aca="false">맥본_원가표!AD171</f>
        <v>200</v>
      </c>
      <c r="Q116" s="16" t="n">
        <f aca="false">맥본_원가표!AE171</f>
        <v>300</v>
      </c>
      <c r="R116" s="16" t="n">
        <f aca="false">맥본_원가표!AF171</f>
        <v>150</v>
      </c>
      <c r="S116" s="16" t="n">
        <f aca="false">맥본_원가표!AG171</f>
        <v>50</v>
      </c>
      <c r="T116" s="16" t="n">
        <f aca="false">맥본_원가표!AH171</f>
        <v>100</v>
      </c>
      <c r="U116" s="16" t="n">
        <f aca="false">맥본_원가표!AI171</f>
        <v>200</v>
      </c>
    </row>
    <row r="117" customFormat="false" ht="15" hidden="false" customHeight="false" outlineLevel="0" collapsed="false">
      <c r="A117" s="37"/>
      <c r="B117" s="37"/>
      <c r="C117" s="24"/>
      <c r="D117" s="14" t="n">
        <f aca="false">맥본_원가표!J172</f>
        <v>30</v>
      </c>
      <c r="E117" s="15" t="n">
        <f aca="false">맥본_원가표!P172</f>
        <v>1666.66666666667</v>
      </c>
      <c r="F117" s="16" t="n">
        <f aca="false">맥본_원가표!I168</f>
        <v>28880</v>
      </c>
      <c r="G117" s="16" t="n">
        <f aca="false">맥본_원가표!O172</f>
        <v>1312.644</v>
      </c>
      <c r="H117" s="16" t="n">
        <f aca="false">맥본_원가표!Q172</f>
        <v>3300</v>
      </c>
      <c r="I117" s="17" t="n">
        <f aca="false">맥본_원가표!R172</f>
        <v>0.602229090909091</v>
      </c>
      <c r="J117" s="16" t="n">
        <f aca="false">맥본_원가표!W172</f>
        <v>110000</v>
      </c>
      <c r="K117" s="16" t="n">
        <f aca="false">맥본_원가표!X172</f>
        <v>99000</v>
      </c>
      <c r="L117" s="16" t="n">
        <f aca="false">맥본_원가표!Y172</f>
        <v>93500</v>
      </c>
      <c r="M117" s="16" t="n">
        <f aca="false">맥본_원가표!Z172</f>
        <v>88000</v>
      </c>
      <c r="N117" s="16" t="n">
        <f aca="false">맥본_원가표!AA172</f>
        <v>2640</v>
      </c>
      <c r="O117" s="14" t="str">
        <f aca="false">맥본_원가표!AC172</f>
        <v>제판비별도</v>
      </c>
      <c r="P117" s="16" t="n">
        <f aca="false">맥본_원가표!AD172</f>
        <v>200</v>
      </c>
      <c r="Q117" s="16" t="n">
        <f aca="false">맥본_원가표!AE172</f>
        <v>300</v>
      </c>
      <c r="R117" s="16" t="n">
        <f aca="false">맥본_원가표!AF172</f>
        <v>150</v>
      </c>
      <c r="S117" s="16" t="n">
        <f aca="false">맥본_원가표!AG172</f>
        <v>50</v>
      </c>
      <c r="T117" s="16" t="n">
        <f aca="false">맥본_원가표!AH172</f>
        <v>100</v>
      </c>
      <c r="U117" s="16" t="n">
        <f aca="false">맥본_원가표!AI172</f>
        <v>200</v>
      </c>
    </row>
    <row r="118" customFormat="false" ht="15" hidden="false" customHeight="true" outlineLevel="0" collapsed="false">
      <c r="A118" s="37"/>
      <c r="B118" s="37"/>
      <c r="C118" s="18" t="s">
        <v>77</v>
      </c>
      <c r="D118" s="19" t="n">
        <f aca="false">맥본_원가표!J173</f>
        <v>5</v>
      </c>
      <c r="E118" s="20" t="n">
        <f aca="false">맥본_원가표!P173</f>
        <v>10000</v>
      </c>
      <c r="F118" s="21" t="n">
        <f aca="false">맥본_원가표!I173</f>
        <v>28880</v>
      </c>
      <c r="G118" s="21" t="n">
        <f aca="false">맥본_원가표!O173</f>
        <v>483.074</v>
      </c>
      <c r="H118" s="21" t="n">
        <f aca="false">맥본_원가표!Q173</f>
        <v>1300</v>
      </c>
      <c r="I118" s="22" t="n">
        <f aca="false">맥본_원가표!R173</f>
        <v>0.628404615384615</v>
      </c>
      <c r="J118" s="21" t="n">
        <f aca="false">맥본_원가표!W173</f>
        <v>260000</v>
      </c>
      <c r="K118" s="21" t="n">
        <f aca="false">맥본_원가표!X173</f>
        <v>234000</v>
      </c>
      <c r="L118" s="21" t="n">
        <f aca="false">맥본_원가표!Y173</f>
        <v>221000</v>
      </c>
      <c r="M118" s="21" t="n">
        <f aca="false">맥본_원가표!Z173</f>
        <v>208000</v>
      </c>
      <c r="N118" s="21" t="n">
        <f aca="false">맥본_원가표!AA173</f>
        <v>1040</v>
      </c>
      <c r="O118" s="19" t="str">
        <f aca="false">맥본_원가표!AC173</f>
        <v>제판비별도</v>
      </c>
      <c r="P118" s="21" t="n">
        <f aca="false">맥본_원가표!AD173</f>
        <v>200</v>
      </c>
      <c r="Q118" s="21" t="n">
        <f aca="false">맥본_원가표!AE173</f>
        <v>300</v>
      </c>
      <c r="R118" s="21" t="n">
        <f aca="false">맥본_원가표!AF173</f>
        <v>150</v>
      </c>
      <c r="S118" s="21" t="n">
        <f aca="false">맥본_원가표!AG173</f>
        <v>50</v>
      </c>
      <c r="T118" s="21" t="n">
        <f aca="false">맥본_원가표!AH173</f>
        <v>100</v>
      </c>
      <c r="U118" s="21" t="n">
        <f aca="false">맥본_원가표!AI173</f>
        <v>200</v>
      </c>
    </row>
    <row r="119" customFormat="false" ht="15" hidden="false" customHeight="false" outlineLevel="0" collapsed="false">
      <c r="A119" s="37"/>
      <c r="B119" s="37"/>
      <c r="C119" s="37"/>
      <c r="D119" s="19" t="n">
        <f aca="false">맥본_원가표!J174</f>
        <v>10</v>
      </c>
      <c r="E119" s="20" t="n">
        <f aca="false">맥본_원가표!P174</f>
        <v>5000</v>
      </c>
      <c r="F119" s="21" t="n">
        <f aca="false">맥본_원가표!I173</f>
        <v>28880</v>
      </c>
      <c r="G119" s="21" t="n">
        <f aca="false">맥본_원가표!O174</f>
        <v>657.798</v>
      </c>
      <c r="H119" s="21" t="n">
        <f aca="false">맥본_원가표!Q174</f>
        <v>1700</v>
      </c>
      <c r="I119" s="22" t="n">
        <f aca="false">맥본_원가표!R174</f>
        <v>0.61306</v>
      </c>
      <c r="J119" s="21" t="n">
        <f aca="false">맥본_원가표!W174</f>
        <v>170000</v>
      </c>
      <c r="K119" s="21" t="n">
        <f aca="false">맥본_원가표!X174</f>
        <v>153000</v>
      </c>
      <c r="L119" s="21" t="n">
        <f aca="false">맥본_원가표!Y174</f>
        <v>144500</v>
      </c>
      <c r="M119" s="21" t="n">
        <f aca="false">맥본_원가표!Z174</f>
        <v>136000</v>
      </c>
      <c r="N119" s="21" t="n">
        <f aca="false">맥본_원가표!AA174</f>
        <v>1360</v>
      </c>
      <c r="O119" s="19" t="str">
        <f aca="false">맥본_원가표!AC174</f>
        <v>제판비별도</v>
      </c>
      <c r="P119" s="21" t="n">
        <f aca="false">맥본_원가표!AD174</f>
        <v>200</v>
      </c>
      <c r="Q119" s="21" t="n">
        <f aca="false">맥본_원가표!AE174</f>
        <v>300</v>
      </c>
      <c r="R119" s="21" t="n">
        <f aca="false">맥본_원가표!AF174</f>
        <v>150</v>
      </c>
      <c r="S119" s="21" t="n">
        <f aca="false">맥본_원가표!AG174</f>
        <v>50</v>
      </c>
      <c r="T119" s="21" t="n">
        <f aca="false">맥본_원가표!AH174</f>
        <v>100</v>
      </c>
      <c r="U119" s="21" t="n">
        <f aca="false">맥본_원가표!AI174</f>
        <v>200</v>
      </c>
    </row>
    <row r="120" customFormat="false" ht="15" hidden="false" customHeight="false" outlineLevel="0" collapsed="false">
      <c r="A120" s="37"/>
      <c r="B120" s="37"/>
      <c r="C120" s="37"/>
      <c r="D120" s="19" t="n">
        <f aca="false">맥본_원가표!J175</f>
        <v>15</v>
      </c>
      <c r="E120" s="20" t="n">
        <f aca="false">맥본_원가표!P175</f>
        <v>3333.33333333333</v>
      </c>
      <c r="F120" s="21" t="n">
        <f aca="false">맥본_원가표!I173</f>
        <v>28880</v>
      </c>
      <c r="G120" s="21" t="n">
        <f aca="false">맥본_원가표!O175</f>
        <v>832.522</v>
      </c>
      <c r="H120" s="21" t="n">
        <f aca="false">맥본_원가표!Q175</f>
        <v>2100</v>
      </c>
      <c r="I120" s="22" t="n">
        <f aca="false">맥본_원가표!R175</f>
        <v>0.603560952380952</v>
      </c>
      <c r="J120" s="21" t="n">
        <f aca="false">맥본_원가표!W175</f>
        <v>140000</v>
      </c>
      <c r="K120" s="21" t="n">
        <f aca="false">맥본_원가표!X175</f>
        <v>126000</v>
      </c>
      <c r="L120" s="21" t="n">
        <f aca="false">맥본_원가표!Y175</f>
        <v>119000</v>
      </c>
      <c r="M120" s="21" t="n">
        <f aca="false">맥본_원가표!Z175</f>
        <v>112000</v>
      </c>
      <c r="N120" s="21" t="n">
        <f aca="false">맥본_원가표!AA175</f>
        <v>1680</v>
      </c>
      <c r="O120" s="19" t="str">
        <f aca="false">맥본_원가표!AC175</f>
        <v>제판비별도</v>
      </c>
      <c r="P120" s="21" t="n">
        <f aca="false">맥본_원가표!AD175</f>
        <v>200</v>
      </c>
      <c r="Q120" s="21" t="n">
        <f aca="false">맥본_원가표!AE175</f>
        <v>300</v>
      </c>
      <c r="R120" s="21" t="n">
        <f aca="false">맥본_원가표!AF175</f>
        <v>150</v>
      </c>
      <c r="S120" s="21" t="n">
        <f aca="false">맥본_원가표!AG175</f>
        <v>50</v>
      </c>
      <c r="T120" s="21" t="n">
        <f aca="false">맥본_원가표!AH175</f>
        <v>100</v>
      </c>
      <c r="U120" s="21" t="n">
        <f aca="false">맥본_원가표!AI175</f>
        <v>200</v>
      </c>
    </row>
    <row r="121" customFormat="false" ht="15" hidden="false" customHeight="false" outlineLevel="0" collapsed="false">
      <c r="A121" s="37"/>
      <c r="B121" s="37"/>
      <c r="C121" s="37"/>
      <c r="D121" s="19" t="n">
        <f aca="false">맥본_원가표!J176</f>
        <v>20</v>
      </c>
      <c r="E121" s="20" t="n">
        <f aca="false">맥본_원가표!P176</f>
        <v>2500</v>
      </c>
      <c r="F121" s="21" t="n">
        <f aca="false">맥본_원가표!I173</f>
        <v>28880</v>
      </c>
      <c r="G121" s="21" t="n">
        <f aca="false">맥본_원가표!O176</f>
        <v>1007.246</v>
      </c>
      <c r="H121" s="21" t="n">
        <f aca="false">맥본_원가표!Q176</f>
        <v>2500</v>
      </c>
      <c r="I121" s="22" t="n">
        <f aca="false">맥본_원가표!R176</f>
        <v>0.5971016</v>
      </c>
      <c r="J121" s="21" t="n">
        <f aca="false">맥본_원가표!W176</f>
        <v>125000</v>
      </c>
      <c r="K121" s="21" t="n">
        <f aca="false">맥본_원가표!X176</f>
        <v>112500</v>
      </c>
      <c r="L121" s="21" t="n">
        <f aca="false">맥본_원가표!Y176</f>
        <v>106250</v>
      </c>
      <c r="M121" s="21" t="n">
        <f aca="false">맥본_원가표!Z176</f>
        <v>100000</v>
      </c>
      <c r="N121" s="21" t="n">
        <f aca="false">맥본_원가표!AA176</f>
        <v>2000</v>
      </c>
      <c r="O121" s="19" t="str">
        <f aca="false">맥본_원가표!AC176</f>
        <v>제판비별도</v>
      </c>
      <c r="P121" s="21" t="n">
        <f aca="false">맥본_원가표!AD176</f>
        <v>200</v>
      </c>
      <c r="Q121" s="21" t="n">
        <f aca="false">맥본_원가표!AE176</f>
        <v>300</v>
      </c>
      <c r="R121" s="21" t="n">
        <f aca="false">맥본_원가표!AF176</f>
        <v>150</v>
      </c>
      <c r="S121" s="21" t="n">
        <f aca="false">맥본_원가표!AG176</f>
        <v>50</v>
      </c>
      <c r="T121" s="21" t="n">
        <f aca="false">맥본_원가표!AH176</f>
        <v>100</v>
      </c>
      <c r="U121" s="21" t="n">
        <f aca="false">맥본_원가표!AI176</f>
        <v>200</v>
      </c>
    </row>
    <row r="122" customFormat="false" ht="15" hidden="false" customHeight="false" outlineLevel="0" collapsed="false">
      <c r="A122" s="37"/>
      <c r="B122" s="37"/>
      <c r="C122" s="37"/>
      <c r="D122" s="19" t="n">
        <f aca="false">맥본_원가표!J177</f>
        <v>30</v>
      </c>
      <c r="E122" s="20" t="n">
        <f aca="false">맥본_원가표!P177</f>
        <v>1666.66666666667</v>
      </c>
      <c r="F122" s="21" t="n">
        <f aca="false">맥본_원가표!I173</f>
        <v>28880</v>
      </c>
      <c r="G122" s="21" t="n">
        <f aca="false">맥본_원가표!O177</f>
        <v>1356.694</v>
      </c>
      <c r="H122" s="21" t="n">
        <f aca="false">맥본_원가표!Q177</f>
        <v>3300</v>
      </c>
      <c r="I122" s="22" t="n">
        <f aca="false">맥본_원가표!R177</f>
        <v>0.588880606060606</v>
      </c>
      <c r="J122" s="21" t="n">
        <f aca="false">맥본_원가표!W177</f>
        <v>110000</v>
      </c>
      <c r="K122" s="21" t="n">
        <f aca="false">맥본_원가표!X177</f>
        <v>99000</v>
      </c>
      <c r="L122" s="21" t="n">
        <f aca="false">맥본_원가표!Y177</f>
        <v>93500</v>
      </c>
      <c r="M122" s="21" t="n">
        <f aca="false">맥본_원가표!Z177</f>
        <v>88000</v>
      </c>
      <c r="N122" s="21" t="n">
        <f aca="false">맥본_원가표!AA177</f>
        <v>2640</v>
      </c>
      <c r="O122" s="19" t="str">
        <f aca="false">맥본_원가표!AC177</f>
        <v>제판비별도</v>
      </c>
      <c r="P122" s="21" t="n">
        <f aca="false">맥본_원가표!AD177</f>
        <v>200</v>
      </c>
      <c r="Q122" s="21" t="n">
        <f aca="false">맥본_원가표!AE177</f>
        <v>300</v>
      </c>
      <c r="R122" s="21" t="n">
        <f aca="false">맥본_원가표!AF177</f>
        <v>150</v>
      </c>
      <c r="S122" s="21" t="n">
        <f aca="false">맥본_원가표!AG177</f>
        <v>50</v>
      </c>
      <c r="T122" s="21" t="n">
        <f aca="false">맥본_원가표!AH177</f>
        <v>100</v>
      </c>
      <c r="U122" s="21" t="n">
        <f aca="false">맥본_원가표!AI177</f>
        <v>200</v>
      </c>
    </row>
    <row r="123" customFormat="false" ht="15" hidden="false" customHeight="true" outlineLevel="0" collapsed="false">
      <c r="A123" s="39" t="s">
        <v>78</v>
      </c>
      <c r="B123" s="8" t="s">
        <v>79</v>
      </c>
      <c r="C123" s="9" t="s">
        <v>80</v>
      </c>
      <c r="D123" s="10" t="n">
        <f aca="false">맥본_원가표!J185</f>
        <v>5</v>
      </c>
      <c r="E123" s="11" t="n">
        <f aca="false">맥본_원가표!P185</f>
        <v>1000</v>
      </c>
      <c r="F123" s="12" t="n">
        <f aca="false">맥본_원가표!I185</f>
        <v>10000</v>
      </c>
      <c r="G123" s="12" t="n">
        <f aca="false">맥본_원가표!O185</f>
        <v>324.8</v>
      </c>
      <c r="H123" s="12" t="n">
        <f aca="false">맥본_원가표!Q185</f>
        <v>1000</v>
      </c>
      <c r="I123" s="13" t="n">
        <f aca="false">맥본_원가표!R185</f>
        <v>0.6752</v>
      </c>
      <c r="J123" s="12" t="n">
        <f aca="false">맥본_원가표!W185</f>
        <v>200000</v>
      </c>
      <c r="K123" s="12" t="n">
        <f aca="false">맥본_원가표!X185</f>
        <v>180000</v>
      </c>
      <c r="L123" s="12" t="n">
        <f aca="false">맥본_원가표!Y185</f>
        <v>170000</v>
      </c>
      <c r="M123" s="12" t="n">
        <f aca="false">맥본_원가표!Z185</f>
        <v>160000</v>
      </c>
      <c r="N123" s="12" t="n">
        <f aca="false">맥본_원가표!AA185</f>
        <v>800</v>
      </c>
      <c r="O123" s="10" t="str">
        <f aca="false">맥본_원가표!AC185</f>
        <v>용기별도</v>
      </c>
      <c r="P123" s="12" t="n">
        <f aca="false">맥본_원가표!AD185</f>
        <v>550</v>
      </c>
      <c r="Q123" s="12" t="n">
        <f aca="false">맥본_원가표!AE185</f>
        <v>300</v>
      </c>
      <c r="R123" s="12" t="n">
        <f aca="false">맥본_원가표!AF185</f>
        <v>150</v>
      </c>
      <c r="S123" s="12" t="n">
        <f aca="false">맥본_원가표!AG185</f>
        <v>50</v>
      </c>
      <c r="T123" s="12" t="n">
        <f aca="false">맥본_원가표!AH185</f>
        <v>100</v>
      </c>
      <c r="U123" s="12" t="n">
        <f aca="false">맥본_원가표!AI185</f>
        <v>200</v>
      </c>
    </row>
    <row r="124" customFormat="false" ht="15" hidden="false" customHeight="false" outlineLevel="0" collapsed="false">
      <c r="A124" s="39"/>
      <c r="B124" s="39"/>
      <c r="C124" s="9"/>
      <c r="D124" s="14" t="n">
        <f aca="false">맥본_원가표!J186</f>
        <v>10</v>
      </c>
      <c r="E124" s="15" t="n">
        <f aca="false">맥본_원가표!P186</f>
        <v>1000</v>
      </c>
      <c r="F124" s="16" t="n">
        <f aca="false">맥본_원가표!I185</f>
        <v>10000</v>
      </c>
      <c r="G124" s="16" t="n">
        <f aca="false">맥본_원가표!O186</f>
        <v>385.3</v>
      </c>
      <c r="H124" s="16" t="n">
        <f aca="false">맥본_원가표!Q186</f>
        <v>1300</v>
      </c>
      <c r="I124" s="17" t="n">
        <f aca="false">맥본_원가표!R186</f>
        <v>0.703615384615385</v>
      </c>
      <c r="J124" s="16" t="n">
        <f aca="false">맥본_원가표!W186</f>
        <v>130000</v>
      </c>
      <c r="K124" s="16" t="n">
        <f aca="false">맥본_원가표!X186</f>
        <v>117000</v>
      </c>
      <c r="L124" s="16" t="n">
        <f aca="false">맥본_원가표!Y186</f>
        <v>110500</v>
      </c>
      <c r="M124" s="16" t="n">
        <f aca="false">맥본_원가표!Z186</f>
        <v>104000</v>
      </c>
      <c r="N124" s="16" t="n">
        <f aca="false">맥본_원가표!AA186</f>
        <v>1040</v>
      </c>
      <c r="O124" s="14" t="str">
        <f aca="false">맥본_원가표!AC186</f>
        <v>용기별도</v>
      </c>
      <c r="P124" s="16" t="n">
        <f aca="false">맥본_원가표!AD186</f>
        <v>600</v>
      </c>
      <c r="Q124" s="16" t="n">
        <f aca="false">맥본_원가표!AE186</f>
        <v>300</v>
      </c>
      <c r="R124" s="16" t="n">
        <f aca="false">맥본_원가표!AF186</f>
        <v>150</v>
      </c>
      <c r="S124" s="16" t="n">
        <f aca="false">맥본_원가표!AG186</f>
        <v>50</v>
      </c>
      <c r="T124" s="16" t="n">
        <f aca="false">맥본_원가표!AH186</f>
        <v>100</v>
      </c>
      <c r="U124" s="16" t="n">
        <f aca="false">맥본_원가표!AI186</f>
        <v>200</v>
      </c>
    </row>
    <row r="125" customFormat="false" ht="15" hidden="false" customHeight="true" outlineLevel="0" collapsed="false">
      <c r="A125" s="39"/>
      <c r="B125" s="39"/>
      <c r="C125" s="18" t="s">
        <v>81</v>
      </c>
      <c r="D125" s="19" t="n">
        <f aca="false">맥본_원가표!J187</f>
        <v>5</v>
      </c>
      <c r="E125" s="20" t="n">
        <f aca="false">맥본_원가표!P187</f>
        <v>1000</v>
      </c>
      <c r="F125" s="21" t="n">
        <f aca="false">맥본_원가표!I187</f>
        <v>32302</v>
      </c>
      <c r="G125" s="21" t="n">
        <f aca="false">맥본_원가표!O187</f>
        <v>459.7271</v>
      </c>
      <c r="H125" s="21" t="n">
        <f aca="false">맥본_원가표!Q187</f>
        <v>1100</v>
      </c>
      <c r="I125" s="22" t="n">
        <f aca="false">맥본_원가표!R187</f>
        <v>0.582066272727273</v>
      </c>
      <c r="J125" s="21" t="n">
        <f aca="false">맥본_원가표!W187</f>
        <v>220000</v>
      </c>
      <c r="K125" s="21" t="n">
        <f aca="false">맥본_원가표!X187</f>
        <v>198000</v>
      </c>
      <c r="L125" s="21" t="n">
        <f aca="false">맥본_원가표!Y187</f>
        <v>187000</v>
      </c>
      <c r="M125" s="21" t="n">
        <f aca="false">맥본_원가표!Z187</f>
        <v>176000</v>
      </c>
      <c r="N125" s="21" t="n">
        <f aca="false">맥본_원가표!AA187</f>
        <v>880</v>
      </c>
      <c r="O125" s="19" t="str">
        <f aca="false">맥본_원가표!AC187</f>
        <v>용기별도</v>
      </c>
      <c r="P125" s="21" t="n">
        <f aca="false">맥본_원가표!AD187</f>
        <v>550</v>
      </c>
      <c r="Q125" s="21" t="n">
        <f aca="false">맥본_원가표!AE187</f>
        <v>300</v>
      </c>
      <c r="R125" s="21" t="n">
        <f aca="false">맥본_원가표!AF187</f>
        <v>150</v>
      </c>
      <c r="S125" s="21" t="n">
        <f aca="false">맥본_원가표!AG187</f>
        <v>50</v>
      </c>
      <c r="T125" s="21" t="n">
        <f aca="false">맥본_원가표!AH187</f>
        <v>100</v>
      </c>
      <c r="U125" s="21" t="n">
        <f aca="false">맥본_원가표!AI187</f>
        <v>200</v>
      </c>
    </row>
    <row r="126" customFormat="false" ht="15" hidden="false" customHeight="false" outlineLevel="0" collapsed="false">
      <c r="A126" s="39"/>
      <c r="B126" s="8"/>
      <c r="C126" s="8"/>
      <c r="D126" s="19" t="n">
        <f aca="false">맥본_원가표!J188</f>
        <v>10</v>
      </c>
      <c r="E126" s="20" t="n">
        <f aca="false">맥본_원가표!P188</f>
        <v>1000</v>
      </c>
      <c r="F126" s="21" t="n">
        <f aca="false">맥본_원가표!I187</f>
        <v>32302</v>
      </c>
      <c r="G126" s="21" t="n">
        <f aca="false">맥본_원가표!O188</f>
        <v>655.1542</v>
      </c>
      <c r="H126" s="21" t="n">
        <f aca="false">맥본_원가표!Q188</f>
        <v>1400</v>
      </c>
      <c r="I126" s="22" t="n">
        <f aca="false">맥본_원가표!R188</f>
        <v>0.532032714285714</v>
      </c>
      <c r="J126" s="21" t="n">
        <f aca="false">맥본_원가표!W188</f>
        <v>140000</v>
      </c>
      <c r="K126" s="21" t="n">
        <f aca="false">맥본_원가표!X188</f>
        <v>126000</v>
      </c>
      <c r="L126" s="21" t="n">
        <f aca="false">맥본_원가표!Y188</f>
        <v>119000</v>
      </c>
      <c r="M126" s="21" t="n">
        <f aca="false">맥본_원가표!Z188</f>
        <v>112000</v>
      </c>
      <c r="N126" s="21" t="n">
        <f aca="false">맥본_원가표!AA188</f>
        <v>1120</v>
      </c>
      <c r="O126" s="19" t="str">
        <f aca="false">맥본_원가표!AC188</f>
        <v>용기별도</v>
      </c>
      <c r="P126" s="21" t="n">
        <f aca="false">맥본_원가표!AD188</f>
        <v>600</v>
      </c>
      <c r="Q126" s="21" t="n">
        <f aca="false">맥본_원가표!AE188</f>
        <v>300</v>
      </c>
      <c r="R126" s="21" t="n">
        <f aca="false">맥본_원가표!AF188</f>
        <v>150</v>
      </c>
      <c r="S126" s="21" t="n">
        <f aca="false">맥본_원가표!AG188</f>
        <v>50</v>
      </c>
      <c r="T126" s="21" t="n">
        <f aca="false">맥본_원가표!AH188</f>
        <v>100</v>
      </c>
      <c r="U126" s="21" t="n">
        <f aca="false">맥본_원가표!AI188</f>
        <v>200</v>
      </c>
    </row>
    <row r="127" customFormat="false" ht="15" hidden="false" customHeight="true" outlineLevel="0" collapsed="false">
      <c r="A127" s="39"/>
      <c r="B127" s="40" t="s">
        <v>82</v>
      </c>
      <c r="C127" s="24" t="s">
        <v>83</v>
      </c>
      <c r="D127" s="14" t="n">
        <f aca="false">맥본_원가표!J189</f>
        <v>5</v>
      </c>
      <c r="E127" s="15" t="n">
        <f aca="false">맥본_원가표!P189</f>
        <v>1000</v>
      </c>
      <c r="F127" s="16" t="n">
        <f aca="false">맥본_원가표!I189</f>
        <v>18142</v>
      </c>
      <c r="G127" s="16" t="n">
        <f aca="false">맥본_원가표!O189</f>
        <v>418.1091</v>
      </c>
      <c r="H127" s="16" t="n">
        <f aca="false">맥본_원가표!Q189</f>
        <v>1200</v>
      </c>
      <c r="I127" s="17" t="n">
        <f aca="false">맥본_원가표!R189</f>
        <v>0.65157575</v>
      </c>
      <c r="J127" s="16" t="n">
        <f aca="false">맥본_원가표!W189</f>
        <v>240000</v>
      </c>
      <c r="K127" s="16" t="n">
        <f aca="false">맥본_원가표!X189</f>
        <v>216000</v>
      </c>
      <c r="L127" s="16" t="n">
        <f aca="false">맥본_원가표!Y189</f>
        <v>204000</v>
      </c>
      <c r="M127" s="16" t="n">
        <f aca="false">맥본_원가표!Z189</f>
        <v>192000</v>
      </c>
      <c r="N127" s="16" t="n">
        <f aca="false">맥본_원가표!AA189</f>
        <v>960</v>
      </c>
      <c r="O127" s="14" t="str">
        <f aca="false">맥본_원가표!AC189</f>
        <v>용기별도</v>
      </c>
      <c r="P127" s="16" t="n">
        <f aca="false">맥본_원가표!AD189</f>
        <v>200</v>
      </c>
      <c r="Q127" s="16" t="n">
        <f aca="false">맥본_원가표!AE189</f>
        <v>300</v>
      </c>
      <c r="R127" s="16" t="n">
        <f aca="false">맥본_원가표!AF189</f>
        <v>150</v>
      </c>
      <c r="S127" s="16" t="n">
        <f aca="false">맥본_원가표!AG189</f>
        <v>50</v>
      </c>
      <c r="T127" s="16" t="n">
        <f aca="false">맥본_원가표!AH189</f>
        <v>100</v>
      </c>
      <c r="U127" s="16" t="n">
        <f aca="false">맥본_원가표!AI189</f>
        <v>200</v>
      </c>
    </row>
    <row r="128" customFormat="false" ht="15" hidden="false" customHeight="false" outlineLevel="0" collapsed="false">
      <c r="A128" s="39"/>
      <c r="B128" s="39"/>
      <c r="C128" s="39"/>
      <c r="D128" s="14" t="n">
        <f aca="false">맥본_원가표!J190</f>
        <v>10</v>
      </c>
      <c r="E128" s="15" t="n">
        <f aca="false">맥본_원가표!P190</f>
        <v>1000</v>
      </c>
      <c r="F128" s="16" t="n">
        <f aca="false">맥본_원가표!I189</f>
        <v>18142</v>
      </c>
      <c r="G128" s="16" t="n">
        <f aca="false">맥본_원가표!O190</f>
        <v>527.8682</v>
      </c>
      <c r="H128" s="16" t="n">
        <f aca="false">맥본_원가표!Q190</f>
        <v>1700</v>
      </c>
      <c r="I128" s="17" t="n">
        <f aca="false">맥본_원가표!R190</f>
        <v>0.689489294117647</v>
      </c>
      <c r="J128" s="16" t="n">
        <f aca="false">맥본_원가표!W190</f>
        <v>170000</v>
      </c>
      <c r="K128" s="16" t="n">
        <f aca="false">맥본_원가표!X190</f>
        <v>153000</v>
      </c>
      <c r="L128" s="16" t="n">
        <f aca="false">맥본_원가표!Y190</f>
        <v>144500</v>
      </c>
      <c r="M128" s="16" t="n">
        <f aca="false">맥본_원가표!Z190</f>
        <v>136000</v>
      </c>
      <c r="N128" s="16" t="n">
        <f aca="false">맥본_원가표!AA190</f>
        <v>1360</v>
      </c>
      <c r="O128" s="14" t="str">
        <f aca="false">맥본_원가표!AC190</f>
        <v>용기별도</v>
      </c>
      <c r="P128" s="16" t="n">
        <f aca="false">맥본_원가표!AD190</f>
        <v>200</v>
      </c>
      <c r="Q128" s="16" t="n">
        <f aca="false">맥본_원가표!AE190</f>
        <v>300</v>
      </c>
      <c r="R128" s="16" t="n">
        <f aca="false">맥본_원가표!AF190</f>
        <v>150</v>
      </c>
      <c r="S128" s="16" t="n">
        <f aca="false">맥본_원가표!AG190</f>
        <v>50</v>
      </c>
      <c r="T128" s="16" t="n">
        <f aca="false">맥본_원가표!AH190</f>
        <v>100</v>
      </c>
      <c r="U128" s="16" t="n">
        <f aca="false">맥본_원가표!AI190</f>
        <v>200</v>
      </c>
    </row>
    <row r="129" customFormat="false" ht="15" hidden="false" customHeight="false" outlineLevel="0" collapsed="false">
      <c r="A129" s="39"/>
      <c r="B129" s="39"/>
      <c r="C129" s="39"/>
      <c r="D129" s="14" t="n">
        <f aca="false">맥본_원가표!J191</f>
        <v>15</v>
      </c>
      <c r="E129" s="15" t="n">
        <f aca="false">맥본_원가표!P191</f>
        <v>1000</v>
      </c>
      <c r="F129" s="16" t="n">
        <f aca="false">맥본_원가표!I189</f>
        <v>18142</v>
      </c>
      <c r="G129" s="16" t="n">
        <f aca="false">맥본_원가표!O191</f>
        <v>637.6273</v>
      </c>
      <c r="H129" s="16" t="n">
        <f aca="false">맥본_원가표!Q191</f>
        <v>2200</v>
      </c>
      <c r="I129" s="17" t="n">
        <f aca="false">맥본_원가표!R191</f>
        <v>0.710169409090909</v>
      </c>
      <c r="J129" s="16" t="n">
        <f aca="false">맥본_원가표!W191</f>
        <v>146666.666666667</v>
      </c>
      <c r="K129" s="16" t="n">
        <f aca="false">맥본_원가표!X191</f>
        <v>132000</v>
      </c>
      <c r="L129" s="16" t="n">
        <f aca="false">맥본_원가표!Y191</f>
        <v>124666.666666667</v>
      </c>
      <c r="M129" s="16" t="n">
        <f aca="false">맥본_원가표!Z191</f>
        <v>117333.333333333</v>
      </c>
      <c r="N129" s="16" t="n">
        <f aca="false">맥본_원가표!AA191</f>
        <v>1760</v>
      </c>
      <c r="O129" s="14" t="str">
        <f aca="false">맥본_원가표!AC191</f>
        <v>용기별도</v>
      </c>
      <c r="P129" s="16" t="n">
        <f aca="false">맥본_원가표!AD191</f>
        <v>200</v>
      </c>
      <c r="Q129" s="16" t="n">
        <f aca="false">맥본_원가표!AE191</f>
        <v>300</v>
      </c>
      <c r="R129" s="16" t="n">
        <f aca="false">맥본_원가표!AF191</f>
        <v>150</v>
      </c>
      <c r="S129" s="16" t="n">
        <f aca="false">맥본_원가표!AG191</f>
        <v>50</v>
      </c>
      <c r="T129" s="16" t="n">
        <f aca="false">맥본_원가표!AH191</f>
        <v>100</v>
      </c>
      <c r="U129" s="16" t="n">
        <f aca="false">맥본_원가표!AI191</f>
        <v>200</v>
      </c>
    </row>
    <row r="130" customFormat="false" ht="15" hidden="false" customHeight="false" outlineLevel="0" collapsed="false">
      <c r="A130" s="39"/>
      <c r="B130" s="39"/>
      <c r="C130" s="24"/>
      <c r="D130" s="14" t="n">
        <f aca="false">맥본_원가표!J192</f>
        <v>20</v>
      </c>
      <c r="E130" s="15" t="n">
        <f aca="false">맥본_원가표!P192</f>
        <v>1000</v>
      </c>
      <c r="F130" s="16" t="n">
        <f aca="false">맥본_원가표!I189</f>
        <v>18142</v>
      </c>
      <c r="G130" s="16" t="n">
        <f aca="false">맥본_원가표!O192</f>
        <v>747.3864</v>
      </c>
      <c r="H130" s="16" t="n">
        <f aca="false">맥본_원가표!Q192</f>
        <v>2700</v>
      </c>
      <c r="I130" s="17" t="n">
        <f aca="false">맥본_원가표!R192</f>
        <v>0.723190222222222</v>
      </c>
      <c r="J130" s="16" t="n">
        <f aca="false">맥본_원가표!W192</f>
        <v>135000</v>
      </c>
      <c r="K130" s="16" t="n">
        <f aca="false">맥본_원가표!X192</f>
        <v>121500</v>
      </c>
      <c r="L130" s="16" t="n">
        <f aca="false">맥본_원가표!Y192</f>
        <v>114750</v>
      </c>
      <c r="M130" s="16" t="n">
        <f aca="false">맥본_원가표!Z192</f>
        <v>108000</v>
      </c>
      <c r="N130" s="16" t="n">
        <f aca="false">맥본_원가표!AA192</f>
        <v>2160</v>
      </c>
      <c r="O130" s="14" t="str">
        <f aca="false">맥본_원가표!AC192</f>
        <v>용기별도</v>
      </c>
      <c r="P130" s="16" t="n">
        <f aca="false">맥본_원가표!AD192</f>
        <v>200</v>
      </c>
      <c r="Q130" s="16" t="n">
        <f aca="false">맥본_원가표!AE192</f>
        <v>300</v>
      </c>
      <c r="R130" s="16" t="n">
        <f aca="false">맥본_원가표!AF192</f>
        <v>150</v>
      </c>
      <c r="S130" s="16" t="n">
        <f aca="false">맥본_원가표!AG192</f>
        <v>50</v>
      </c>
      <c r="T130" s="16" t="n">
        <f aca="false">맥본_원가표!AH192</f>
        <v>100</v>
      </c>
      <c r="U130" s="16" t="n">
        <f aca="false">맥본_원가표!AI192</f>
        <v>200</v>
      </c>
    </row>
    <row r="131" customFormat="false" ht="15" hidden="false" customHeight="true" outlineLevel="0" collapsed="false">
      <c r="A131" s="39"/>
      <c r="B131" s="39"/>
      <c r="C131" s="18" t="s">
        <v>84</v>
      </c>
      <c r="D131" s="19" t="n">
        <f aca="false">맥본_원가표!J193</f>
        <v>5</v>
      </c>
      <c r="E131" s="20" t="n">
        <f aca="false">맥본_원가표!P193</f>
        <v>1000</v>
      </c>
      <c r="F131" s="21" t="n">
        <f aca="false">맥본_원가표!I193</f>
        <v>20148</v>
      </c>
      <c r="G131" s="21" t="n">
        <f aca="false">맥본_원가표!O193</f>
        <v>430.2454</v>
      </c>
      <c r="H131" s="21" t="n">
        <f aca="false">맥본_원가표!Q193</f>
        <v>1400</v>
      </c>
      <c r="I131" s="22" t="n">
        <f aca="false">맥본_원가표!R193</f>
        <v>0.692681857142857</v>
      </c>
      <c r="J131" s="21" t="n">
        <f aca="false">맥본_원가표!W193</f>
        <v>280000</v>
      </c>
      <c r="K131" s="21" t="n">
        <f aca="false">맥본_원가표!X193</f>
        <v>252000</v>
      </c>
      <c r="L131" s="21" t="n">
        <f aca="false">맥본_원가표!Y193</f>
        <v>238000</v>
      </c>
      <c r="M131" s="21" t="n">
        <f aca="false">맥본_원가표!Z193</f>
        <v>224000</v>
      </c>
      <c r="N131" s="21" t="n">
        <f aca="false">맥본_원가표!AA193</f>
        <v>1120</v>
      </c>
      <c r="O131" s="19" t="str">
        <f aca="false">맥본_원가표!AC193</f>
        <v>용기별도</v>
      </c>
      <c r="P131" s="21" t="n">
        <f aca="false">맥본_원가표!AD193</f>
        <v>200</v>
      </c>
      <c r="Q131" s="21" t="n">
        <f aca="false">맥본_원가표!AE193</f>
        <v>300</v>
      </c>
      <c r="R131" s="21" t="n">
        <f aca="false">맥본_원가표!AF193</f>
        <v>150</v>
      </c>
      <c r="S131" s="21" t="n">
        <f aca="false">맥본_원가표!AG193</f>
        <v>50</v>
      </c>
      <c r="T131" s="21" t="n">
        <f aca="false">맥본_원가표!AH193</f>
        <v>100</v>
      </c>
      <c r="U131" s="21" t="n">
        <f aca="false">맥본_원가표!AI193</f>
        <v>200</v>
      </c>
    </row>
    <row r="132" customFormat="false" ht="15" hidden="false" customHeight="false" outlineLevel="0" collapsed="false">
      <c r="A132" s="39"/>
      <c r="B132" s="39"/>
      <c r="C132" s="39"/>
      <c r="D132" s="19" t="n">
        <f aca="false">맥본_원가표!J194</f>
        <v>10</v>
      </c>
      <c r="E132" s="20" t="n">
        <f aca="false">맥본_원가표!P194</f>
        <v>1000</v>
      </c>
      <c r="F132" s="21" t="n">
        <f aca="false">맥본_원가표!I193</f>
        <v>20148</v>
      </c>
      <c r="G132" s="21" t="n">
        <f aca="false">맥본_원가표!O194</f>
        <v>552.1408</v>
      </c>
      <c r="H132" s="21" t="n">
        <f aca="false">맥본_원가표!Q194</f>
        <v>1900</v>
      </c>
      <c r="I132" s="22" t="n">
        <f aca="false">맥본_원가표!R194</f>
        <v>0.709399578947368</v>
      </c>
      <c r="J132" s="21" t="n">
        <f aca="false">맥본_원가표!W194</f>
        <v>190000</v>
      </c>
      <c r="K132" s="21" t="n">
        <f aca="false">맥본_원가표!X194</f>
        <v>171000</v>
      </c>
      <c r="L132" s="21" t="n">
        <f aca="false">맥본_원가표!Y194</f>
        <v>161500</v>
      </c>
      <c r="M132" s="21" t="n">
        <f aca="false">맥본_원가표!Z194</f>
        <v>152000</v>
      </c>
      <c r="N132" s="21" t="n">
        <f aca="false">맥본_원가표!AA194</f>
        <v>1520</v>
      </c>
      <c r="O132" s="19" t="str">
        <f aca="false">맥본_원가표!AC194</f>
        <v>용기별도</v>
      </c>
      <c r="P132" s="21" t="n">
        <f aca="false">맥본_원가표!AD194</f>
        <v>200</v>
      </c>
      <c r="Q132" s="21" t="n">
        <f aca="false">맥본_원가표!AE194</f>
        <v>300</v>
      </c>
      <c r="R132" s="21" t="n">
        <f aca="false">맥본_원가표!AF194</f>
        <v>150</v>
      </c>
      <c r="S132" s="21" t="n">
        <f aca="false">맥본_원가표!AG194</f>
        <v>50</v>
      </c>
      <c r="T132" s="21" t="n">
        <f aca="false">맥본_원가표!AH194</f>
        <v>100</v>
      </c>
      <c r="U132" s="21" t="n">
        <f aca="false">맥본_원가표!AI194</f>
        <v>200</v>
      </c>
    </row>
    <row r="133" customFormat="false" ht="15" hidden="false" customHeight="false" outlineLevel="0" collapsed="false">
      <c r="A133" s="39"/>
      <c r="B133" s="39"/>
      <c r="C133" s="39"/>
      <c r="D133" s="19" t="n">
        <f aca="false">맥본_원가표!J195</f>
        <v>15</v>
      </c>
      <c r="E133" s="20" t="n">
        <f aca="false">맥본_원가표!P195</f>
        <v>1000</v>
      </c>
      <c r="F133" s="21" t="n">
        <f aca="false">맥본_원가표!I193</f>
        <v>20148</v>
      </c>
      <c r="G133" s="21" t="n">
        <f aca="false">맥본_원가표!O195</f>
        <v>674.0362</v>
      </c>
      <c r="H133" s="21" t="n">
        <f aca="false">맥본_원가표!Q195</f>
        <v>2400</v>
      </c>
      <c r="I133" s="22" t="n">
        <f aca="false">맥본_원가표!R195</f>
        <v>0.719151583333333</v>
      </c>
      <c r="J133" s="21" t="n">
        <f aca="false">맥본_원가표!W195</f>
        <v>160000</v>
      </c>
      <c r="K133" s="21" t="n">
        <f aca="false">맥본_원가표!X195</f>
        <v>144000</v>
      </c>
      <c r="L133" s="21" t="n">
        <f aca="false">맥본_원가표!Y195</f>
        <v>136000</v>
      </c>
      <c r="M133" s="21" t="n">
        <f aca="false">맥본_원가표!Z195</f>
        <v>128000</v>
      </c>
      <c r="N133" s="21" t="n">
        <f aca="false">맥본_원가표!AA195</f>
        <v>1920</v>
      </c>
      <c r="O133" s="19" t="str">
        <f aca="false">맥본_원가표!AC195</f>
        <v>용기별도</v>
      </c>
      <c r="P133" s="21" t="n">
        <f aca="false">맥본_원가표!AD195</f>
        <v>200</v>
      </c>
      <c r="Q133" s="21" t="n">
        <f aca="false">맥본_원가표!AE195</f>
        <v>300</v>
      </c>
      <c r="R133" s="21" t="n">
        <f aca="false">맥본_원가표!AF195</f>
        <v>150</v>
      </c>
      <c r="S133" s="21" t="n">
        <f aca="false">맥본_원가표!AG195</f>
        <v>50</v>
      </c>
      <c r="T133" s="21" t="n">
        <f aca="false">맥본_원가표!AH195</f>
        <v>100</v>
      </c>
      <c r="U133" s="21" t="n">
        <f aca="false">맥본_원가표!AI195</f>
        <v>200</v>
      </c>
    </row>
    <row r="134" customFormat="false" ht="15" hidden="false" customHeight="false" outlineLevel="0" collapsed="false">
      <c r="A134" s="39"/>
      <c r="B134" s="39"/>
      <c r="C134" s="18"/>
      <c r="D134" s="19" t="n">
        <f aca="false">맥본_원가표!J196</f>
        <v>20</v>
      </c>
      <c r="E134" s="20" t="n">
        <f aca="false">맥본_원가표!P196</f>
        <v>1000</v>
      </c>
      <c r="F134" s="21" t="n">
        <f aca="false">맥본_원가표!I193</f>
        <v>20148</v>
      </c>
      <c r="G134" s="21" t="n">
        <f aca="false">맥본_원가표!O196</f>
        <v>795.9316</v>
      </c>
      <c r="H134" s="21" t="n">
        <f aca="false">맥본_원가표!Q196</f>
        <v>2900</v>
      </c>
      <c r="I134" s="22" t="n">
        <f aca="false">맥본_원가표!R196</f>
        <v>0.725540827586207</v>
      </c>
      <c r="J134" s="21" t="n">
        <f aca="false">맥본_원가표!W196</f>
        <v>145000</v>
      </c>
      <c r="K134" s="21" t="n">
        <f aca="false">맥본_원가표!X196</f>
        <v>130500</v>
      </c>
      <c r="L134" s="21" t="n">
        <f aca="false">맥본_원가표!Y196</f>
        <v>123250</v>
      </c>
      <c r="M134" s="21" t="n">
        <f aca="false">맥본_원가표!Z196</f>
        <v>116000</v>
      </c>
      <c r="N134" s="21" t="n">
        <f aca="false">맥본_원가표!AA196</f>
        <v>2320</v>
      </c>
      <c r="O134" s="19" t="str">
        <f aca="false">맥본_원가표!AC196</f>
        <v>용기별도</v>
      </c>
      <c r="P134" s="21" t="n">
        <f aca="false">맥본_원가표!AD196</f>
        <v>200</v>
      </c>
      <c r="Q134" s="21" t="n">
        <f aca="false">맥본_원가표!AE196</f>
        <v>300</v>
      </c>
      <c r="R134" s="21" t="n">
        <f aca="false">맥본_원가표!AF196</f>
        <v>150</v>
      </c>
      <c r="S134" s="21" t="n">
        <f aca="false">맥본_원가표!AG196</f>
        <v>50</v>
      </c>
      <c r="T134" s="21" t="n">
        <f aca="false">맥본_원가표!AH196</f>
        <v>100</v>
      </c>
      <c r="U134" s="21" t="n">
        <f aca="false">맥본_원가표!AI196</f>
        <v>200</v>
      </c>
    </row>
    <row r="135" customFormat="false" ht="15" hidden="false" customHeight="true" outlineLevel="0" collapsed="false">
      <c r="A135" s="39"/>
      <c r="B135" s="39"/>
      <c r="C135" s="41" t="s">
        <v>85</v>
      </c>
      <c r="D135" s="14" t="n">
        <f aca="false">맥본_원가표!J197</f>
        <v>5</v>
      </c>
      <c r="E135" s="15" t="n">
        <f aca="false">맥본_원가표!P197</f>
        <v>1000</v>
      </c>
      <c r="F135" s="16" t="n">
        <f aca="false">맥본_원가표!I197</f>
        <v>15192</v>
      </c>
      <c r="G135" s="16" t="n">
        <f aca="false">맥본_원가표!O197</f>
        <v>400.2616</v>
      </c>
      <c r="H135" s="16" t="n">
        <f aca="false">맥본_원가표!Q197</f>
        <v>1400</v>
      </c>
      <c r="I135" s="17" t="n">
        <f aca="false">맥본_원가표!R197</f>
        <v>0.714098857142857</v>
      </c>
      <c r="J135" s="16" t="n">
        <f aca="false">맥본_원가표!W197</f>
        <v>280000</v>
      </c>
      <c r="K135" s="16" t="n">
        <f aca="false">맥본_원가표!X197</f>
        <v>252000</v>
      </c>
      <c r="L135" s="16" t="n">
        <f aca="false">맥본_원가표!Y197</f>
        <v>238000</v>
      </c>
      <c r="M135" s="16" t="n">
        <f aca="false">맥본_원가표!Z197</f>
        <v>224000</v>
      </c>
      <c r="N135" s="16" t="n">
        <f aca="false">맥본_원가표!AA197</f>
        <v>1120</v>
      </c>
      <c r="O135" s="14" t="str">
        <f aca="false">맥본_원가표!AC197</f>
        <v>용기별도</v>
      </c>
      <c r="P135" s="16" t="str">
        <f aca="false">맥본_원가표!AD197</f>
        <v>-</v>
      </c>
      <c r="Q135" s="16" t="n">
        <f aca="false">맥본_원가표!AE197</f>
        <v>300</v>
      </c>
      <c r="R135" s="16" t="n">
        <f aca="false">맥본_원가표!AF197</f>
        <v>150</v>
      </c>
      <c r="S135" s="16" t="n">
        <f aca="false">맥본_원가표!AG197</f>
        <v>50</v>
      </c>
      <c r="T135" s="16" t="n">
        <f aca="false">맥본_원가표!AH197</f>
        <v>100</v>
      </c>
      <c r="U135" s="16" t="n">
        <f aca="false">맥본_원가표!AI197</f>
        <v>200</v>
      </c>
    </row>
    <row r="136" customFormat="false" ht="15" hidden="false" customHeight="false" outlineLevel="0" collapsed="false">
      <c r="A136" s="39"/>
      <c r="B136" s="39"/>
      <c r="C136" s="39"/>
      <c r="D136" s="14" t="n">
        <f aca="false">맥본_원가표!J198</f>
        <v>10</v>
      </c>
      <c r="E136" s="15" t="n">
        <f aca="false">맥본_원가표!P198</f>
        <v>1000</v>
      </c>
      <c r="F136" s="16" t="n">
        <f aca="false">맥본_원가표!I197</f>
        <v>15192</v>
      </c>
      <c r="G136" s="16" t="n">
        <f aca="false">맥본_원가표!O198</f>
        <v>492.1732</v>
      </c>
      <c r="H136" s="16" t="n">
        <f aca="false">맥본_원가표!Q198</f>
        <v>1900</v>
      </c>
      <c r="I136" s="17" t="n">
        <f aca="false">맥본_원가표!R198</f>
        <v>0.740961473684211</v>
      </c>
      <c r="J136" s="16" t="n">
        <f aca="false">맥본_원가표!W198</f>
        <v>190000</v>
      </c>
      <c r="K136" s="16" t="n">
        <f aca="false">맥본_원가표!X198</f>
        <v>171000</v>
      </c>
      <c r="L136" s="16" t="n">
        <f aca="false">맥본_원가표!Y198</f>
        <v>161500</v>
      </c>
      <c r="M136" s="16" t="n">
        <f aca="false">맥본_원가표!Z198</f>
        <v>152000</v>
      </c>
      <c r="N136" s="16" t="n">
        <f aca="false">맥본_원가표!AA198</f>
        <v>1520</v>
      </c>
      <c r="O136" s="14" t="str">
        <f aca="false">맥본_원가표!AC198</f>
        <v>용기별도</v>
      </c>
      <c r="P136" s="16" t="str">
        <f aca="false">맥본_원가표!AD198</f>
        <v>-</v>
      </c>
      <c r="Q136" s="16" t="n">
        <f aca="false">맥본_원가표!AE198</f>
        <v>300</v>
      </c>
      <c r="R136" s="16" t="n">
        <f aca="false">맥본_원가표!AF198</f>
        <v>150</v>
      </c>
      <c r="S136" s="16" t="n">
        <f aca="false">맥본_원가표!AG198</f>
        <v>50</v>
      </c>
      <c r="T136" s="16" t="n">
        <f aca="false">맥본_원가표!AH198</f>
        <v>100</v>
      </c>
      <c r="U136" s="16" t="n">
        <f aca="false">맥본_원가표!AI198</f>
        <v>200</v>
      </c>
    </row>
    <row r="137" customFormat="false" ht="15" hidden="false" customHeight="false" outlineLevel="0" collapsed="false">
      <c r="A137" s="39"/>
      <c r="B137" s="39"/>
      <c r="C137" s="39"/>
      <c r="D137" s="14" t="n">
        <f aca="false">맥본_원가표!J199</f>
        <v>15</v>
      </c>
      <c r="E137" s="15" t="n">
        <f aca="false">맥본_원가표!P199</f>
        <v>1000</v>
      </c>
      <c r="F137" s="16" t="n">
        <f aca="false">맥본_원가표!I197</f>
        <v>15192</v>
      </c>
      <c r="G137" s="16" t="n">
        <f aca="false">맥본_원가표!O199</f>
        <v>584.0848</v>
      </c>
      <c r="H137" s="16" t="n">
        <f aca="false">맥본_원가표!Q199</f>
        <v>2400</v>
      </c>
      <c r="I137" s="17" t="n">
        <f aca="false">맥본_원가표!R199</f>
        <v>0.756631333333333</v>
      </c>
      <c r="J137" s="16" t="n">
        <f aca="false">맥본_원가표!W199</f>
        <v>160000</v>
      </c>
      <c r="K137" s="16" t="n">
        <f aca="false">맥본_원가표!X199</f>
        <v>144000</v>
      </c>
      <c r="L137" s="16" t="n">
        <f aca="false">맥본_원가표!Y199</f>
        <v>136000</v>
      </c>
      <c r="M137" s="16" t="n">
        <f aca="false">맥본_원가표!Z199</f>
        <v>128000</v>
      </c>
      <c r="N137" s="16" t="n">
        <f aca="false">맥본_원가표!AA199</f>
        <v>1920</v>
      </c>
      <c r="O137" s="14" t="str">
        <f aca="false">맥본_원가표!AC199</f>
        <v>용기별도</v>
      </c>
      <c r="P137" s="16" t="str">
        <f aca="false">맥본_원가표!AD199</f>
        <v>-</v>
      </c>
      <c r="Q137" s="16" t="n">
        <f aca="false">맥본_원가표!AE199</f>
        <v>300</v>
      </c>
      <c r="R137" s="16" t="n">
        <f aca="false">맥본_원가표!AF199</f>
        <v>150</v>
      </c>
      <c r="S137" s="16" t="n">
        <f aca="false">맥본_원가표!AG199</f>
        <v>50</v>
      </c>
      <c r="T137" s="16" t="n">
        <f aca="false">맥본_원가표!AH199</f>
        <v>100</v>
      </c>
      <c r="U137" s="16" t="n">
        <f aca="false">맥본_원가표!AI199</f>
        <v>200</v>
      </c>
    </row>
    <row r="138" customFormat="false" ht="15" hidden="false" customHeight="false" outlineLevel="0" collapsed="false">
      <c r="A138" s="39"/>
      <c r="B138" s="39"/>
      <c r="C138" s="39"/>
      <c r="D138" s="42" t="n">
        <f aca="false">맥본_원가표!J200</f>
        <v>20</v>
      </c>
      <c r="E138" s="43" t="n">
        <f aca="false">맥본_원가표!P200</f>
        <v>1000</v>
      </c>
      <c r="F138" s="44" t="n">
        <f aca="false">맥본_원가표!I197</f>
        <v>15192</v>
      </c>
      <c r="G138" s="44" t="n">
        <f aca="false">맥본_원가표!O200</f>
        <v>675.9964</v>
      </c>
      <c r="H138" s="44" t="n">
        <f aca="false">맥본_원가표!Q200</f>
        <v>2900</v>
      </c>
      <c r="I138" s="45" t="n">
        <f aca="false">맥본_원가표!R200</f>
        <v>0.766897793103448</v>
      </c>
      <c r="J138" s="44" t="n">
        <f aca="false">맥본_원가표!W200</f>
        <v>145000</v>
      </c>
      <c r="K138" s="44" t="n">
        <f aca="false">맥본_원가표!X200</f>
        <v>130500</v>
      </c>
      <c r="L138" s="44" t="n">
        <f aca="false">맥본_원가표!Y200</f>
        <v>123250</v>
      </c>
      <c r="M138" s="44" t="n">
        <f aca="false">맥본_원가표!Z200</f>
        <v>116000</v>
      </c>
      <c r="N138" s="44" t="n">
        <f aca="false">맥본_원가표!AA200</f>
        <v>2320</v>
      </c>
      <c r="O138" s="42" t="str">
        <f aca="false">맥본_원가표!AC200</f>
        <v>용기별도</v>
      </c>
      <c r="P138" s="44" t="str">
        <f aca="false">맥본_원가표!AD200</f>
        <v>-</v>
      </c>
      <c r="Q138" s="44" t="n">
        <f aca="false">맥본_원가표!AE200</f>
        <v>300</v>
      </c>
      <c r="R138" s="44" t="n">
        <f aca="false">맥본_원가표!AF200</f>
        <v>150</v>
      </c>
      <c r="S138" s="44" t="n">
        <f aca="false">맥본_원가표!AG200</f>
        <v>50</v>
      </c>
      <c r="T138" s="44" t="n">
        <f aca="false">맥본_원가표!AH200</f>
        <v>100</v>
      </c>
      <c r="U138" s="44" t="n">
        <f aca="false">맥본_원가표!AI200</f>
        <v>200</v>
      </c>
    </row>
    <row r="140" customFormat="false" ht="15" hidden="false" customHeight="false" outlineLevel="0" collapsed="false">
      <c r="A140" s="46" t="s">
        <v>86</v>
      </c>
    </row>
    <row r="141" customFormat="false" ht="15" hidden="false" customHeight="false" outlineLevel="0" collapsed="false">
      <c r="A141" s="46" t="s">
        <v>87</v>
      </c>
    </row>
  </sheetData>
  <mergeCells count="68">
    <mergeCell ref="A1:U1"/>
    <mergeCell ref="A2:E2"/>
    <mergeCell ref="F2:I2"/>
    <mergeCell ref="J2:N2"/>
    <mergeCell ref="P2:U2"/>
    <mergeCell ref="A4:A15"/>
    <mergeCell ref="B4:B11"/>
    <mergeCell ref="C4:C7"/>
    <mergeCell ref="C8:C11"/>
    <mergeCell ref="B12:B15"/>
    <mergeCell ref="C12:C13"/>
    <mergeCell ref="C14:C15"/>
    <mergeCell ref="A16:A39"/>
    <mergeCell ref="B16:B39"/>
    <mergeCell ref="C16:C18"/>
    <mergeCell ref="C19:C21"/>
    <mergeCell ref="C22:C24"/>
    <mergeCell ref="C25:C27"/>
    <mergeCell ref="C28:C30"/>
    <mergeCell ref="C31:C33"/>
    <mergeCell ref="C34:C36"/>
    <mergeCell ref="C37:C39"/>
    <mergeCell ref="A40:A51"/>
    <mergeCell ref="B40:B51"/>
    <mergeCell ref="C40:C43"/>
    <mergeCell ref="C44:C47"/>
    <mergeCell ref="C48:C51"/>
    <mergeCell ref="A52:A67"/>
    <mergeCell ref="B52:B54"/>
    <mergeCell ref="C52:C54"/>
    <mergeCell ref="B55:B62"/>
    <mergeCell ref="C55:C57"/>
    <mergeCell ref="C58:C62"/>
    <mergeCell ref="B63:B67"/>
    <mergeCell ref="C63:C67"/>
    <mergeCell ref="A68:A87"/>
    <mergeCell ref="B68:B71"/>
    <mergeCell ref="C68:C69"/>
    <mergeCell ref="C70:C71"/>
    <mergeCell ref="B72:B79"/>
    <mergeCell ref="C72:C73"/>
    <mergeCell ref="C74:C75"/>
    <mergeCell ref="C76:C77"/>
    <mergeCell ref="C78:C79"/>
    <mergeCell ref="B80:B87"/>
    <mergeCell ref="C80:C81"/>
    <mergeCell ref="C82:C83"/>
    <mergeCell ref="C84:C85"/>
    <mergeCell ref="C86:C87"/>
    <mergeCell ref="A88:A107"/>
    <mergeCell ref="B88:B107"/>
    <mergeCell ref="C88:C92"/>
    <mergeCell ref="C93:C97"/>
    <mergeCell ref="C98:C102"/>
    <mergeCell ref="C103:C107"/>
    <mergeCell ref="A108:A122"/>
    <mergeCell ref="B108:B122"/>
    <mergeCell ref="C108:C112"/>
    <mergeCell ref="C113:C117"/>
    <mergeCell ref="C118:C122"/>
    <mergeCell ref="A123:A138"/>
    <mergeCell ref="B123:B126"/>
    <mergeCell ref="C123:C124"/>
    <mergeCell ref="C125:C126"/>
    <mergeCell ref="B127:B138"/>
    <mergeCell ref="C127:C130"/>
    <mergeCell ref="C131:C134"/>
    <mergeCell ref="C135:C1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B1:AI208"/>
  <sheetViews>
    <sheetView showFormulas="false" showGridLines="true" showRowColHeaders="true" showZeros="true" rightToLeft="false" tabSelected="true" showOutlineSymbols="true" defaultGridColor="true" view="normal" topLeftCell="A144" colorId="64" zoomScale="90" zoomScaleNormal="90" zoomScalePageLayoutView="88" workbookViewId="0">
      <selection pane="topLeft" activeCell="M168" activeCellId="0" sqref="M168"/>
    </sheetView>
  </sheetViews>
  <sheetFormatPr defaultColWidth="9.00390625" defaultRowHeight="15.75" zeroHeight="false" outlineLevelRow="0" outlineLevelCol="0"/>
  <cols>
    <col collapsed="false" customWidth="false" hidden="false" outlineLevel="0" max="2" min="2" style="47" width="9"/>
    <col collapsed="false" customWidth="true" hidden="false" outlineLevel="0" max="3" min="3" style="48" width="31.6"/>
    <col collapsed="false" customWidth="true" hidden="false" outlineLevel="0" max="6" min="4" style="48" width="14.8"/>
    <col collapsed="false" customWidth="true" hidden="false" outlineLevel="0" max="9" min="7" style="49" width="13.39"/>
    <col collapsed="false" customWidth="false" hidden="false" outlineLevel="0" max="10" min="10" style="47" width="9"/>
    <col collapsed="false" customWidth="true" hidden="false" outlineLevel="0" max="11" min="11" style="47" width="13.8"/>
    <col collapsed="false" customWidth="true" hidden="false" outlineLevel="0" max="12" min="12" style="47" width="9.2"/>
    <col collapsed="false" customWidth="true" hidden="false" outlineLevel="0" max="14" min="13" style="47" width="12"/>
    <col collapsed="false" customWidth="true" hidden="false" outlineLevel="0" max="15" min="15" style="1" width="12"/>
    <col collapsed="false" customWidth="true" hidden="false" outlineLevel="0" max="16" min="16" style="50" width="12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2.6"/>
    <col collapsed="false" customWidth="true" hidden="false" outlineLevel="0" max="28" min="20" style="1" width="12"/>
    <col collapsed="false" customWidth="true" hidden="false" outlineLevel="0" max="29" min="29" style="47" width="13.8"/>
    <col collapsed="false" customWidth="true" hidden="false" outlineLevel="0" max="35" min="30" style="1" width="12"/>
    <col collapsed="false" customWidth="false" hidden="false" outlineLevel="0" max="36" min="36" style="1" width="9"/>
  </cols>
  <sheetData>
    <row r="1" customFormat="false" ht="15.75" hidden="false" customHeight="true" outlineLevel="0" collapsed="false">
      <c r="B1" s="51"/>
    </row>
    <row r="3" customFormat="false" ht="15.75" hidden="false" customHeight="true" outlineLevel="0" collapsed="false">
      <c r="B3" s="51"/>
      <c r="C3" s="52"/>
      <c r="D3" s="52"/>
      <c r="E3" s="52"/>
      <c r="F3" s="52"/>
      <c r="K3" s="53"/>
    </row>
    <row r="4" customFormat="false" ht="36" hidden="false" customHeight="true" outlineLevel="0" collapsed="false">
      <c r="B4" s="51" t="s">
        <v>88</v>
      </c>
      <c r="C4" s="54"/>
      <c r="D4" s="54"/>
      <c r="E4" s="54"/>
      <c r="F4" s="54"/>
      <c r="K4" s="55"/>
    </row>
    <row r="5" customFormat="false" ht="21.75" hidden="false" customHeight="true" outlineLevel="0" collapsed="false">
      <c r="K5" s="56"/>
      <c r="M5" s="47" t="s">
        <v>89</v>
      </c>
      <c r="Q5" s="57" t="s">
        <v>90</v>
      </c>
      <c r="U5" s="57" t="s">
        <v>91</v>
      </c>
      <c r="V5" s="47"/>
      <c r="W5" s="58" t="s">
        <v>92</v>
      </c>
      <c r="X5" s="58"/>
      <c r="Y5" s="58"/>
      <c r="Z5" s="58"/>
      <c r="AA5" s="59"/>
      <c r="AB5" s="59"/>
      <c r="AD5" s="60" t="s">
        <v>93</v>
      </c>
      <c r="AE5" s="60"/>
      <c r="AF5" s="60"/>
      <c r="AG5" s="60"/>
      <c r="AH5" s="60"/>
      <c r="AI5" s="60"/>
    </row>
    <row r="6" customFormat="false" ht="33" hidden="false" customHeight="true" outlineLevel="0" collapsed="false">
      <c r="B6" s="61" t="s">
        <v>94</v>
      </c>
      <c r="C6" s="61" t="s">
        <v>8</v>
      </c>
      <c r="D6" s="61" t="s">
        <v>95</v>
      </c>
      <c r="E6" s="62" t="s">
        <v>96</v>
      </c>
      <c r="F6" s="62" t="s">
        <v>97</v>
      </c>
      <c r="G6" s="62" t="s">
        <v>98</v>
      </c>
      <c r="H6" s="62" t="s">
        <v>99</v>
      </c>
      <c r="I6" s="62" t="s">
        <v>100</v>
      </c>
      <c r="J6" s="63" t="s">
        <v>101</v>
      </c>
      <c r="K6" s="64" t="s">
        <v>102</v>
      </c>
      <c r="L6" s="64" t="s">
        <v>103</v>
      </c>
      <c r="M6" s="64" t="s">
        <v>104</v>
      </c>
      <c r="N6" s="63" t="s">
        <v>105</v>
      </c>
      <c r="O6" s="64" t="s">
        <v>106</v>
      </c>
      <c r="P6" s="65" t="s">
        <v>107</v>
      </c>
      <c r="Q6" s="66" t="s">
        <v>108</v>
      </c>
      <c r="R6" s="67" t="s">
        <v>14</v>
      </c>
      <c r="S6" s="68" t="s">
        <v>109</v>
      </c>
      <c r="T6" s="69" t="s">
        <v>110</v>
      </c>
      <c r="U6" s="70" t="s">
        <v>111</v>
      </c>
      <c r="V6" s="71"/>
      <c r="W6" s="72" t="s">
        <v>112</v>
      </c>
      <c r="X6" s="72" t="s">
        <v>113</v>
      </c>
      <c r="Y6" s="72" t="s">
        <v>114</v>
      </c>
      <c r="Z6" s="72" t="s">
        <v>115</v>
      </c>
      <c r="AA6" s="72" t="s">
        <v>115</v>
      </c>
      <c r="AB6" s="62" t="s">
        <v>116</v>
      </c>
      <c r="AC6" s="62" t="s">
        <v>117</v>
      </c>
      <c r="AD6" s="60" t="s">
        <v>4</v>
      </c>
      <c r="AE6" s="60" t="s">
        <v>21</v>
      </c>
      <c r="AF6" s="60" t="s">
        <v>22</v>
      </c>
      <c r="AG6" s="60" t="s">
        <v>118</v>
      </c>
      <c r="AH6" s="60" t="s">
        <v>119</v>
      </c>
      <c r="AI6" s="60" t="s">
        <v>25</v>
      </c>
    </row>
    <row r="7" customFormat="false" ht="15" hidden="false" customHeight="true" outlineLevel="0" collapsed="false">
      <c r="B7" s="61"/>
      <c r="C7" s="61"/>
      <c r="D7" s="61"/>
      <c r="E7" s="61"/>
      <c r="F7" s="61"/>
      <c r="G7" s="62"/>
      <c r="H7" s="62"/>
      <c r="I7" s="62"/>
      <c r="J7" s="62"/>
      <c r="K7" s="64" t="s">
        <v>120</v>
      </c>
      <c r="L7" s="64" t="s">
        <v>121</v>
      </c>
      <c r="M7" s="73" t="s">
        <v>122</v>
      </c>
      <c r="N7" s="74" t="s">
        <v>123</v>
      </c>
      <c r="O7" s="74" t="s">
        <v>124</v>
      </c>
      <c r="P7" s="65"/>
      <c r="Q7" s="75" t="s">
        <v>125</v>
      </c>
      <c r="R7" s="76" t="s">
        <v>126</v>
      </c>
      <c r="S7" s="68"/>
      <c r="T7" s="69"/>
      <c r="U7" s="70"/>
      <c r="V7" s="77"/>
      <c r="W7" s="78" t="s">
        <v>127</v>
      </c>
      <c r="X7" s="78" t="s">
        <v>127</v>
      </c>
      <c r="Y7" s="78" t="s">
        <v>127</v>
      </c>
      <c r="Z7" s="78" t="s">
        <v>127</v>
      </c>
      <c r="AA7" s="78" t="s">
        <v>127</v>
      </c>
      <c r="AB7" s="78"/>
      <c r="AC7" s="62"/>
      <c r="AD7" s="62"/>
      <c r="AE7" s="62"/>
      <c r="AF7" s="62"/>
      <c r="AG7" s="62"/>
      <c r="AH7" s="60"/>
      <c r="AI7" s="60"/>
    </row>
    <row r="8" customFormat="false" ht="10.5" hidden="false" customHeight="true" outlineLevel="0" collapsed="false">
      <c r="B8" s="61"/>
      <c r="C8" s="61"/>
      <c r="D8" s="61"/>
      <c r="E8" s="61"/>
      <c r="F8" s="61"/>
      <c r="G8" s="79" t="n">
        <v>0.18</v>
      </c>
      <c r="H8" s="62"/>
      <c r="I8" s="62"/>
      <c r="J8" s="62"/>
      <c r="K8" s="80" t="n">
        <v>0.1</v>
      </c>
      <c r="L8" s="74" t="n">
        <v>80</v>
      </c>
      <c r="M8" s="73"/>
      <c r="N8" s="73"/>
      <c r="O8" s="73"/>
      <c r="P8" s="65"/>
      <c r="Q8" s="75"/>
      <c r="R8" s="76"/>
      <c r="S8" s="68"/>
      <c r="T8" s="69"/>
      <c r="U8" s="70"/>
      <c r="V8" s="81"/>
      <c r="W8" s="79" t="n">
        <v>0</v>
      </c>
      <c r="X8" s="79" t="n">
        <v>0.1</v>
      </c>
      <c r="Y8" s="79" t="n">
        <v>0.15</v>
      </c>
      <c r="Z8" s="79" t="n">
        <v>0.2</v>
      </c>
      <c r="AA8" s="79" t="n">
        <v>0.2</v>
      </c>
      <c r="AB8" s="79"/>
      <c r="AC8" s="62"/>
      <c r="AD8" s="62"/>
      <c r="AE8" s="62"/>
      <c r="AF8" s="62"/>
      <c r="AG8" s="62"/>
      <c r="AH8" s="60"/>
      <c r="AI8" s="60"/>
    </row>
    <row r="9" customFormat="false" ht="21.75" hidden="false" customHeight="true" outlineLevel="0" collapsed="false">
      <c r="B9" s="82" t="s">
        <v>128</v>
      </c>
      <c r="C9" s="83" t="s">
        <v>28</v>
      </c>
      <c r="D9" s="83" t="s">
        <v>129</v>
      </c>
      <c r="E9" s="84" t="n">
        <v>67.5</v>
      </c>
      <c r="F9" s="84" t="n">
        <v>50</v>
      </c>
      <c r="G9" s="84" t="n">
        <f aca="false">E9*$G$8</f>
        <v>12.15</v>
      </c>
      <c r="H9" s="85" t="n">
        <f aca="false">SUM(E9:G9)</f>
        <v>129.65</v>
      </c>
      <c r="I9" s="86" t="n">
        <f aca="false">H9*200</f>
        <v>25930</v>
      </c>
      <c r="J9" s="87" t="n">
        <v>1</v>
      </c>
      <c r="K9" s="88" t="n">
        <f aca="false">I9/1000*J9*(1+$K$8)</f>
        <v>28.523</v>
      </c>
      <c r="L9" s="89" t="n">
        <v>1.25</v>
      </c>
      <c r="M9" s="88" t="n">
        <f aca="false">$L$8*L9</f>
        <v>100</v>
      </c>
      <c r="N9" s="88" t="n">
        <f aca="false">SUM(K9:M9)*0.1</f>
        <v>12.9773</v>
      </c>
      <c r="O9" s="90" t="n">
        <f aca="false">SUM(K9+M9+N9)</f>
        <v>141.5003</v>
      </c>
      <c r="P9" s="91" t="n">
        <v>10000</v>
      </c>
      <c r="Q9" s="92" t="n">
        <v>150</v>
      </c>
      <c r="R9" s="93" t="n">
        <f aca="false">(Q9-O9)/Q9</f>
        <v>0.0566646666666668</v>
      </c>
      <c r="S9" s="94" t="n">
        <f aca="false">Q9/J9*1000</f>
        <v>150000</v>
      </c>
      <c r="T9" s="95"/>
      <c r="U9" s="96" t="n">
        <v>70000</v>
      </c>
      <c r="V9" s="97"/>
      <c r="W9" s="98" t="n">
        <f aca="false">S9*(1-$W$8)</f>
        <v>150000</v>
      </c>
      <c r="X9" s="98" t="n">
        <f aca="false">S9*(1-$X$8)</f>
        <v>135000</v>
      </c>
      <c r="Y9" s="98" t="n">
        <f aca="false">S9*(1-$Y$8)</f>
        <v>127500</v>
      </c>
      <c r="Z9" s="98" t="n">
        <f aca="false">S9*(1-$Z$8)</f>
        <v>120000</v>
      </c>
      <c r="AA9" s="98" t="n">
        <f aca="false">Q9*(1-$AA$8)</f>
        <v>120</v>
      </c>
      <c r="AB9" s="99" t="n">
        <f aca="false">(AA9-O9)/AA9</f>
        <v>-0.179169166666667</v>
      </c>
      <c r="AC9" s="100" t="s">
        <v>130</v>
      </c>
      <c r="AD9" s="88" t="s">
        <v>131</v>
      </c>
      <c r="AE9" s="101" t="n">
        <v>300</v>
      </c>
      <c r="AF9" s="101" t="n">
        <v>150</v>
      </c>
      <c r="AG9" s="101" t="n">
        <v>50</v>
      </c>
      <c r="AH9" s="101" t="n">
        <v>100</v>
      </c>
      <c r="AI9" s="101" t="n">
        <v>200</v>
      </c>
    </row>
    <row r="10" customFormat="false" ht="21.75" hidden="false" customHeight="true" outlineLevel="0" collapsed="false">
      <c r="B10" s="82"/>
      <c r="C10" s="82"/>
      <c r="D10" s="82"/>
      <c r="E10" s="82"/>
      <c r="F10" s="82"/>
      <c r="G10" s="82"/>
      <c r="H10" s="82"/>
      <c r="I10" s="82"/>
      <c r="J10" s="87" t="n">
        <v>3</v>
      </c>
      <c r="K10" s="88" t="n">
        <f aca="false">I9/1000*J10*(1+$K$8)</f>
        <v>85.569</v>
      </c>
      <c r="L10" s="89" t="n">
        <v>1.25</v>
      </c>
      <c r="M10" s="88" t="n">
        <f aca="false">$L$8*L10</f>
        <v>100</v>
      </c>
      <c r="N10" s="88" t="n">
        <f aca="false">SUM(K10:M10)*0.1</f>
        <v>18.6819</v>
      </c>
      <c r="O10" s="90" t="n">
        <f aca="false">SUM(K10+M10+N10)</f>
        <v>204.2509</v>
      </c>
      <c r="P10" s="91" t="n">
        <v>1000</v>
      </c>
      <c r="Q10" s="92" t="n">
        <v>400</v>
      </c>
      <c r="R10" s="93" t="n">
        <f aca="false">(Q10-O10)/Q10</f>
        <v>0.48937275</v>
      </c>
      <c r="S10" s="102" t="n">
        <f aca="false">Q10/J10*1000</f>
        <v>133333.333333333</v>
      </c>
      <c r="T10" s="95"/>
      <c r="U10" s="96"/>
      <c r="V10" s="103"/>
      <c r="W10" s="98" t="n">
        <f aca="false">S10*(1-$W$8)</f>
        <v>133333.333333333</v>
      </c>
      <c r="X10" s="98" t="n">
        <f aca="false">S10*(1-$X$8)</f>
        <v>120000</v>
      </c>
      <c r="Y10" s="98" t="n">
        <f aca="false">S10*(1-$Y$8)</f>
        <v>113333.333333333</v>
      </c>
      <c r="Z10" s="98" t="n">
        <f aca="false">S10*(1-$Z$8)</f>
        <v>106666.666666667</v>
      </c>
      <c r="AA10" s="98" t="n">
        <f aca="false">Q10*(1-$AA$8)</f>
        <v>320</v>
      </c>
      <c r="AB10" s="93" t="n">
        <f aca="false">(AA10-O10)/AA10</f>
        <v>0.3617159375</v>
      </c>
      <c r="AC10" s="104" t="s">
        <v>132</v>
      </c>
      <c r="AD10" s="88" t="s">
        <v>131</v>
      </c>
      <c r="AE10" s="101" t="n">
        <v>300</v>
      </c>
      <c r="AF10" s="101" t="n">
        <v>150</v>
      </c>
      <c r="AG10" s="101" t="n">
        <v>50</v>
      </c>
      <c r="AH10" s="101" t="n">
        <v>100</v>
      </c>
      <c r="AI10" s="101" t="n">
        <v>200</v>
      </c>
    </row>
    <row r="11" customFormat="false" ht="21.75" hidden="false" customHeight="true" outlineLevel="0" collapsed="false">
      <c r="B11" s="82"/>
      <c r="C11" s="82"/>
      <c r="D11" s="82"/>
      <c r="E11" s="82"/>
      <c r="F11" s="82"/>
      <c r="G11" s="82"/>
      <c r="H11" s="82"/>
      <c r="I11" s="82"/>
      <c r="J11" s="87" t="n">
        <v>5</v>
      </c>
      <c r="K11" s="88" t="n">
        <f aca="false">I9/1000*J11*(1+$K$8)</f>
        <v>142.615</v>
      </c>
      <c r="L11" s="89" t="n">
        <v>1.25</v>
      </c>
      <c r="M11" s="88" t="n">
        <f aca="false">$L$8*L11</f>
        <v>100</v>
      </c>
      <c r="N11" s="88" t="n">
        <f aca="false">SUM(K11:M11)*0.1</f>
        <v>24.3865</v>
      </c>
      <c r="O11" s="90" t="n">
        <f aca="false">SUM(K11+M11+N11)</f>
        <v>267.0015</v>
      </c>
      <c r="P11" s="91" t="n">
        <v>1000</v>
      </c>
      <c r="Q11" s="92" t="n">
        <v>550</v>
      </c>
      <c r="R11" s="93" t="n">
        <f aca="false">(Q11-O11)/Q11</f>
        <v>0.514542727272727</v>
      </c>
      <c r="S11" s="102" t="n">
        <f aca="false">Q11/J11*1000</f>
        <v>110000</v>
      </c>
      <c r="T11" s="95"/>
      <c r="U11" s="96"/>
      <c r="V11" s="103"/>
      <c r="W11" s="98" t="n">
        <f aca="false">S11*(1-$W$8)</f>
        <v>110000</v>
      </c>
      <c r="X11" s="98" t="n">
        <f aca="false">S11*(1-$X$8)</f>
        <v>99000</v>
      </c>
      <c r="Y11" s="98" t="n">
        <f aca="false">S11*(1-$Y$8)</f>
        <v>93500</v>
      </c>
      <c r="Z11" s="98" t="n">
        <f aca="false">S11*(1-$Z$8)</f>
        <v>88000</v>
      </c>
      <c r="AA11" s="98" t="n">
        <f aca="false">Q11*(1-$AA$8)</f>
        <v>440</v>
      </c>
      <c r="AB11" s="93" t="n">
        <f aca="false">(AA11-O11)/AA11</f>
        <v>0.393178409090909</v>
      </c>
      <c r="AC11" s="104" t="s">
        <v>132</v>
      </c>
      <c r="AD11" s="88" t="s">
        <v>131</v>
      </c>
      <c r="AE11" s="101" t="n">
        <v>300</v>
      </c>
      <c r="AF11" s="101" t="n">
        <v>150</v>
      </c>
      <c r="AG11" s="101" t="n">
        <v>50</v>
      </c>
      <c r="AH11" s="101" t="n">
        <v>100</v>
      </c>
      <c r="AI11" s="101" t="n">
        <v>200</v>
      </c>
    </row>
    <row r="12" customFormat="false" ht="21.75" hidden="false" customHeight="true" outlineLevel="0" collapsed="false">
      <c r="B12" s="82"/>
      <c r="C12" s="83"/>
      <c r="D12" s="83"/>
      <c r="E12" s="83"/>
      <c r="F12" s="83"/>
      <c r="G12" s="83"/>
      <c r="H12" s="83"/>
      <c r="I12" s="83"/>
      <c r="J12" s="87" t="n">
        <v>7</v>
      </c>
      <c r="K12" s="88" t="n">
        <f aca="false">I9/1000*J12*(1+$K$8)</f>
        <v>199.661</v>
      </c>
      <c r="L12" s="89" t="n">
        <v>1.25</v>
      </c>
      <c r="M12" s="88" t="n">
        <f aca="false">$L$8*L12</f>
        <v>100</v>
      </c>
      <c r="N12" s="88" t="n">
        <f aca="false">SUM(K12:M12)*0.1</f>
        <v>30.0911</v>
      </c>
      <c r="O12" s="90" t="n">
        <f aca="false">SUM(K12+M12+N12)</f>
        <v>329.7521</v>
      </c>
      <c r="P12" s="91" t="n">
        <v>1000</v>
      </c>
      <c r="Q12" s="92" t="n">
        <v>700</v>
      </c>
      <c r="R12" s="93" t="n">
        <f aca="false">(Q12-O12)/Q12</f>
        <v>0.528925571428571</v>
      </c>
      <c r="S12" s="102" t="n">
        <f aca="false">Q12/J12*1000</f>
        <v>100000</v>
      </c>
      <c r="T12" s="105"/>
      <c r="U12" s="96"/>
      <c r="V12" s="106"/>
      <c r="W12" s="98" t="n">
        <f aca="false">S12*(1-$W$8)</f>
        <v>100000</v>
      </c>
      <c r="X12" s="98" t="n">
        <f aca="false">S12*(1-$X$8)</f>
        <v>90000</v>
      </c>
      <c r="Y12" s="98" t="n">
        <f aca="false">S12*(1-$Y$8)</f>
        <v>85000</v>
      </c>
      <c r="Z12" s="98" t="n">
        <f aca="false">S12*(1-$Z$8)</f>
        <v>80000</v>
      </c>
      <c r="AA12" s="98" t="n">
        <f aca="false">Q12*(1-$AA$8)</f>
        <v>560</v>
      </c>
      <c r="AB12" s="93" t="n">
        <f aca="false">(AA12-O12)/AA12</f>
        <v>0.411156964285714</v>
      </c>
      <c r="AC12" s="104" t="s">
        <v>132</v>
      </c>
      <c r="AD12" s="88" t="s">
        <v>131</v>
      </c>
      <c r="AE12" s="101" t="n">
        <v>300</v>
      </c>
      <c r="AF12" s="101" t="n">
        <v>150</v>
      </c>
      <c r="AG12" s="101" t="n">
        <v>50</v>
      </c>
      <c r="AH12" s="101" t="n">
        <v>100</v>
      </c>
      <c r="AI12" s="101" t="n">
        <v>200</v>
      </c>
    </row>
    <row r="13" customFormat="false" ht="21.75" hidden="false" customHeight="true" outlineLevel="0" collapsed="false">
      <c r="B13" s="82"/>
      <c r="C13" s="83" t="s">
        <v>29</v>
      </c>
      <c r="D13" s="83" t="s">
        <v>129</v>
      </c>
      <c r="E13" s="84" t="n">
        <v>33.5</v>
      </c>
      <c r="F13" s="84" t="n">
        <v>50</v>
      </c>
      <c r="G13" s="84" t="n">
        <f aca="false">E13*$G$8</f>
        <v>6.03</v>
      </c>
      <c r="H13" s="85" t="n">
        <f aca="false">SUM(E13:G13)</f>
        <v>89.53</v>
      </c>
      <c r="I13" s="86" t="n">
        <f aca="false">H13*200</f>
        <v>17906</v>
      </c>
      <c r="J13" s="87" t="n">
        <v>1</v>
      </c>
      <c r="K13" s="88" t="n">
        <f aca="false">I13/1000*J13*(1+$K$8)</f>
        <v>19.6966</v>
      </c>
      <c r="L13" s="89" t="n">
        <v>1.25</v>
      </c>
      <c r="M13" s="88" t="n">
        <f aca="false">$L$8*L13</f>
        <v>100</v>
      </c>
      <c r="N13" s="88" t="n">
        <f aca="false">SUM(K13:M13)*0.1</f>
        <v>12.09466</v>
      </c>
      <c r="O13" s="90" t="n">
        <f aca="false">SUM(K13+M13+N13)</f>
        <v>131.79126</v>
      </c>
      <c r="P13" s="91" t="n">
        <v>10000</v>
      </c>
      <c r="Q13" s="92" t="n">
        <v>150</v>
      </c>
      <c r="R13" s="93" t="n">
        <f aca="false">(Q13-O13)/Q13</f>
        <v>0.1213916</v>
      </c>
      <c r="S13" s="102" t="n">
        <f aca="false">Q13/J13*1000</f>
        <v>150000</v>
      </c>
      <c r="T13" s="107"/>
      <c r="U13" s="96" t="n">
        <v>70000</v>
      </c>
      <c r="V13" s="97"/>
      <c r="W13" s="98" t="n">
        <f aca="false">S13*(1-$W$8)</f>
        <v>150000</v>
      </c>
      <c r="X13" s="98" t="n">
        <f aca="false">S13*(1-$X$8)</f>
        <v>135000</v>
      </c>
      <c r="Y13" s="98" t="n">
        <f aca="false">S13*(1-$Y$8)</f>
        <v>127500</v>
      </c>
      <c r="Z13" s="98" t="n">
        <f aca="false">S13*(1-$Z$8)</f>
        <v>120000</v>
      </c>
      <c r="AA13" s="98" t="n">
        <f aca="false">Q13*(1-$AA$8)</f>
        <v>120</v>
      </c>
      <c r="AB13" s="99" t="n">
        <f aca="false">(AA13-O13)/AA13</f>
        <v>-0.0982605</v>
      </c>
      <c r="AC13" s="100" t="s">
        <v>130</v>
      </c>
      <c r="AD13" s="88" t="s">
        <v>131</v>
      </c>
      <c r="AE13" s="101" t="n">
        <v>300</v>
      </c>
      <c r="AF13" s="101" t="n">
        <v>150</v>
      </c>
      <c r="AG13" s="101" t="n">
        <v>50</v>
      </c>
      <c r="AH13" s="101" t="n">
        <v>100</v>
      </c>
      <c r="AI13" s="101" t="n">
        <v>200</v>
      </c>
    </row>
    <row r="14" customFormat="false" ht="21.75" hidden="false" customHeight="true" outlineLevel="0" collapsed="false">
      <c r="B14" s="82"/>
      <c r="C14" s="82"/>
      <c r="D14" s="82"/>
      <c r="E14" s="82"/>
      <c r="F14" s="82"/>
      <c r="G14" s="82"/>
      <c r="H14" s="82"/>
      <c r="I14" s="82"/>
      <c r="J14" s="87" t="n">
        <v>3</v>
      </c>
      <c r="K14" s="88" t="n">
        <f aca="false">I13/1000*J14*(1+$K$8)</f>
        <v>59.0898</v>
      </c>
      <c r="L14" s="89" t="n">
        <v>1.25</v>
      </c>
      <c r="M14" s="88" t="n">
        <f aca="false">$L$8*L14</f>
        <v>100</v>
      </c>
      <c r="N14" s="88" t="n">
        <f aca="false">SUM(K14:M14)*0.1</f>
        <v>16.03398</v>
      </c>
      <c r="O14" s="90" t="n">
        <f aca="false">SUM(K14+M14+N14)</f>
        <v>175.12378</v>
      </c>
      <c r="P14" s="91" t="n">
        <v>1000</v>
      </c>
      <c r="Q14" s="92" t="n">
        <v>400</v>
      </c>
      <c r="R14" s="93" t="n">
        <f aca="false">(Q14-O14)/Q14</f>
        <v>0.56219055</v>
      </c>
      <c r="S14" s="102" t="n">
        <f aca="false">Q14/J14*1000</f>
        <v>133333.333333333</v>
      </c>
      <c r="T14" s="95"/>
      <c r="U14" s="96"/>
      <c r="V14" s="103"/>
      <c r="W14" s="98" t="n">
        <f aca="false">S14*(1-$W$8)</f>
        <v>133333.333333333</v>
      </c>
      <c r="X14" s="98" t="n">
        <f aca="false">S14*(1-$X$8)</f>
        <v>120000</v>
      </c>
      <c r="Y14" s="98" t="n">
        <f aca="false">S14*(1-$Y$8)</f>
        <v>113333.333333333</v>
      </c>
      <c r="Z14" s="98" t="n">
        <f aca="false">S14*(1-$Z$8)</f>
        <v>106666.666666667</v>
      </c>
      <c r="AA14" s="98" t="n">
        <f aca="false">Q14*(1-$AA$8)</f>
        <v>320</v>
      </c>
      <c r="AB14" s="93" t="n">
        <f aca="false">(AA14-O14)/AA14</f>
        <v>0.4527381875</v>
      </c>
      <c r="AC14" s="104" t="s">
        <v>132</v>
      </c>
      <c r="AD14" s="88" t="s">
        <v>131</v>
      </c>
      <c r="AE14" s="101" t="n">
        <v>300</v>
      </c>
      <c r="AF14" s="101" t="n">
        <v>150</v>
      </c>
      <c r="AG14" s="101" t="n">
        <v>50</v>
      </c>
      <c r="AH14" s="101" t="n">
        <v>100</v>
      </c>
      <c r="AI14" s="101" t="n">
        <v>200</v>
      </c>
    </row>
    <row r="15" customFormat="false" ht="21.75" hidden="false" customHeight="true" outlineLevel="0" collapsed="false">
      <c r="B15" s="82"/>
      <c r="C15" s="82"/>
      <c r="D15" s="82"/>
      <c r="E15" s="82"/>
      <c r="F15" s="82"/>
      <c r="G15" s="82"/>
      <c r="H15" s="82"/>
      <c r="I15" s="82"/>
      <c r="J15" s="87" t="n">
        <v>5</v>
      </c>
      <c r="K15" s="88" t="n">
        <f aca="false">I13/1000*J15*(1+$K$8)</f>
        <v>98.483</v>
      </c>
      <c r="L15" s="89" t="n">
        <v>1.25</v>
      </c>
      <c r="M15" s="88" t="n">
        <f aca="false">$L$8*L15</f>
        <v>100</v>
      </c>
      <c r="N15" s="88" t="n">
        <f aca="false">SUM(K15:M15)*0.1</f>
        <v>19.9733</v>
      </c>
      <c r="O15" s="90" t="n">
        <f aca="false">SUM(K15+M15+N15)</f>
        <v>218.4563</v>
      </c>
      <c r="P15" s="91" t="n">
        <v>1000</v>
      </c>
      <c r="Q15" s="92" t="n">
        <v>550</v>
      </c>
      <c r="R15" s="93" t="n">
        <f aca="false">(Q15-O15)/Q15</f>
        <v>0.602806727272727</v>
      </c>
      <c r="S15" s="102" t="n">
        <f aca="false">Q15/J15*1000</f>
        <v>110000</v>
      </c>
      <c r="T15" s="95"/>
      <c r="U15" s="96"/>
      <c r="V15" s="103"/>
      <c r="W15" s="98" t="n">
        <f aca="false">S15*(1-$W$8)</f>
        <v>110000</v>
      </c>
      <c r="X15" s="98" t="n">
        <f aca="false">S15*(1-$X$8)</f>
        <v>99000</v>
      </c>
      <c r="Y15" s="98" t="n">
        <f aca="false">S15*(1-$Y$8)</f>
        <v>93500</v>
      </c>
      <c r="Z15" s="98" t="n">
        <f aca="false">S15*(1-$Z$8)</f>
        <v>88000</v>
      </c>
      <c r="AA15" s="98" t="n">
        <f aca="false">Q15*(1-$AA$8)</f>
        <v>440</v>
      </c>
      <c r="AB15" s="93" t="n">
        <f aca="false">(AA15-O15)/AA15</f>
        <v>0.503508409090909</v>
      </c>
      <c r="AC15" s="104" t="s">
        <v>132</v>
      </c>
      <c r="AD15" s="88" t="s">
        <v>131</v>
      </c>
      <c r="AE15" s="101" t="n">
        <v>300</v>
      </c>
      <c r="AF15" s="101" t="n">
        <v>150</v>
      </c>
      <c r="AG15" s="101" t="n">
        <v>50</v>
      </c>
      <c r="AH15" s="101" t="n">
        <v>100</v>
      </c>
      <c r="AI15" s="101" t="n">
        <v>200</v>
      </c>
    </row>
    <row r="16" customFormat="false" ht="21.75" hidden="false" customHeight="true" outlineLevel="0" collapsed="false">
      <c r="B16" s="82"/>
      <c r="C16" s="82"/>
      <c r="D16" s="82"/>
      <c r="E16" s="82"/>
      <c r="F16" s="82"/>
      <c r="G16" s="82"/>
      <c r="H16" s="82"/>
      <c r="I16" s="82"/>
      <c r="J16" s="87" t="n">
        <v>7</v>
      </c>
      <c r="K16" s="88" t="n">
        <f aca="false">I13/1000*J16*(1+$K$8)</f>
        <v>137.8762</v>
      </c>
      <c r="L16" s="89" t="n">
        <v>1.25</v>
      </c>
      <c r="M16" s="88" t="n">
        <f aca="false">$L$8*L16</f>
        <v>100</v>
      </c>
      <c r="N16" s="88" t="n">
        <f aca="false">SUM(K16:M16)*0.1</f>
        <v>23.91262</v>
      </c>
      <c r="O16" s="90" t="n">
        <f aca="false">SUM(K16+M16+N16)</f>
        <v>261.78882</v>
      </c>
      <c r="P16" s="91" t="n">
        <v>1000</v>
      </c>
      <c r="Q16" s="92" t="n">
        <v>700</v>
      </c>
      <c r="R16" s="93" t="n">
        <f aca="false">(Q16-O16)/Q16</f>
        <v>0.626015971428572</v>
      </c>
      <c r="S16" s="102" t="n">
        <f aca="false">Q16/J16*1000</f>
        <v>100000</v>
      </c>
      <c r="T16" s="105"/>
      <c r="U16" s="96"/>
      <c r="V16" s="106"/>
      <c r="W16" s="98" t="n">
        <f aca="false">S16*(1-$W$8)</f>
        <v>100000</v>
      </c>
      <c r="X16" s="98" t="n">
        <f aca="false">S16*(1-$X$8)</f>
        <v>90000</v>
      </c>
      <c r="Y16" s="98" t="n">
        <f aca="false">S16*(1-$Y$8)</f>
        <v>85000</v>
      </c>
      <c r="Z16" s="98" t="n">
        <f aca="false">S16*(1-$Z$8)</f>
        <v>80000</v>
      </c>
      <c r="AA16" s="98" t="n">
        <f aca="false">Q16*(1-$AA$8)</f>
        <v>560</v>
      </c>
      <c r="AB16" s="93" t="n">
        <f aca="false">(AA16-O16)/AA16</f>
        <v>0.532519964285714</v>
      </c>
      <c r="AC16" s="104" t="s">
        <v>132</v>
      </c>
      <c r="AD16" s="88" t="s">
        <v>131</v>
      </c>
      <c r="AE16" s="101" t="n">
        <v>300</v>
      </c>
      <c r="AF16" s="101" t="n">
        <v>150</v>
      </c>
      <c r="AG16" s="101" t="n">
        <v>50</v>
      </c>
      <c r="AH16" s="101" t="n">
        <v>100</v>
      </c>
      <c r="AI16" s="101" t="n">
        <v>200</v>
      </c>
    </row>
    <row r="17" customFormat="false" ht="21.75" hidden="false" customHeight="true" outlineLevel="0" collapsed="false">
      <c r="B17" s="82" t="s">
        <v>133</v>
      </c>
      <c r="C17" s="83" t="s">
        <v>31</v>
      </c>
      <c r="D17" s="83" t="s">
        <v>129</v>
      </c>
      <c r="E17" s="84" t="n">
        <v>156.2</v>
      </c>
      <c r="F17" s="84" t="n">
        <v>50</v>
      </c>
      <c r="G17" s="84" t="n">
        <f aca="false">E17*$G$8</f>
        <v>28.116</v>
      </c>
      <c r="H17" s="85" t="n">
        <f aca="false">SUM(E17:G17)</f>
        <v>234.316</v>
      </c>
      <c r="I17" s="86" t="n">
        <f aca="false">H17*200</f>
        <v>46863.2</v>
      </c>
      <c r="J17" s="87" t="n">
        <v>5</v>
      </c>
      <c r="K17" s="88" t="n">
        <f aca="false">I17/1000*J17*(1+$K$8)</f>
        <v>257.7476</v>
      </c>
      <c r="L17" s="89" t="n">
        <v>2</v>
      </c>
      <c r="M17" s="88" t="n">
        <f aca="false">$L$8*L17</f>
        <v>160</v>
      </c>
      <c r="N17" s="88" t="n">
        <f aca="false">SUM(K17:M17)*0.1</f>
        <v>41.97476</v>
      </c>
      <c r="O17" s="90" t="n">
        <f aca="false">SUM(K17+M17+N17)</f>
        <v>459.72236</v>
      </c>
      <c r="P17" s="91" t="n">
        <v>1000</v>
      </c>
      <c r="Q17" s="92" t="n">
        <v>1200</v>
      </c>
      <c r="R17" s="93" t="n">
        <f aca="false">(Q17-O17)/Q17</f>
        <v>0.616898033333333</v>
      </c>
      <c r="S17" s="102" t="n">
        <f aca="false">Q17/J17*1000</f>
        <v>240000</v>
      </c>
      <c r="T17" s="107"/>
      <c r="U17" s="96" t="n">
        <v>200000</v>
      </c>
      <c r="V17" s="97"/>
      <c r="W17" s="98" t="n">
        <f aca="false">S17*(1-$W$8)</f>
        <v>240000</v>
      </c>
      <c r="X17" s="98" t="n">
        <f aca="false">S17*(1-$X$8)</f>
        <v>216000</v>
      </c>
      <c r="Y17" s="98" t="n">
        <f aca="false">S17*(1-$Y$8)</f>
        <v>204000</v>
      </c>
      <c r="Z17" s="98" t="n">
        <f aca="false">S17*(1-$Z$8)</f>
        <v>192000</v>
      </c>
      <c r="AA17" s="98" t="n">
        <f aca="false">Q17*(1-$AA$8)</f>
        <v>960</v>
      </c>
      <c r="AB17" s="93" t="n">
        <f aca="false">(AA17-O17)/AA17</f>
        <v>0.521122541666667</v>
      </c>
      <c r="AC17" s="104" t="s">
        <v>132</v>
      </c>
      <c r="AD17" s="88" t="n">
        <v>550</v>
      </c>
      <c r="AE17" s="101" t="n">
        <v>300</v>
      </c>
      <c r="AF17" s="101" t="n">
        <v>150</v>
      </c>
      <c r="AG17" s="101" t="n">
        <v>50</v>
      </c>
      <c r="AH17" s="101" t="n">
        <v>100</v>
      </c>
      <c r="AI17" s="101" t="n">
        <v>200</v>
      </c>
    </row>
    <row r="18" customFormat="false" ht="21.75" hidden="false" customHeight="true" outlineLevel="0" collapsed="false">
      <c r="B18" s="82"/>
      <c r="C18" s="83"/>
      <c r="D18" s="83"/>
      <c r="E18" s="83"/>
      <c r="F18" s="83"/>
      <c r="G18" s="83"/>
      <c r="H18" s="83"/>
      <c r="I18" s="83"/>
      <c r="J18" s="87" t="n">
        <v>10</v>
      </c>
      <c r="K18" s="88" t="n">
        <f aca="false">I17/1000*J18*(1+$K$8)</f>
        <v>515.4952</v>
      </c>
      <c r="L18" s="89" t="n">
        <v>2</v>
      </c>
      <c r="M18" s="88" t="n">
        <f aca="false">$L$8*L18</f>
        <v>160</v>
      </c>
      <c r="N18" s="88" t="n">
        <f aca="false">SUM(K18:M18)*0.1</f>
        <v>67.74952</v>
      </c>
      <c r="O18" s="90" t="n">
        <f aca="false">SUM(K18+M18+N18)</f>
        <v>743.24472</v>
      </c>
      <c r="P18" s="91" t="n">
        <v>1000</v>
      </c>
      <c r="Q18" s="92" t="n">
        <v>1500</v>
      </c>
      <c r="R18" s="93" t="n">
        <f aca="false">(Q18-O18)/Q18</f>
        <v>0.50450352</v>
      </c>
      <c r="S18" s="102" t="n">
        <f aca="false">Q18/J18*1000</f>
        <v>150000</v>
      </c>
      <c r="T18" s="105"/>
      <c r="U18" s="96"/>
      <c r="V18" s="106"/>
      <c r="W18" s="98" t="n">
        <f aca="false">S18*(1-$W$8)</f>
        <v>150000</v>
      </c>
      <c r="X18" s="98" t="n">
        <f aca="false">S18*(1-$X$8)</f>
        <v>135000</v>
      </c>
      <c r="Y18" s="98" t="n">
        <f aca="false">S18*(1-$Y$8)</f>
        <v>127500</v>
      </c>
      <c r="Z18" s="98" t="n">
        <f aca="false">S18*(1-$Z$8)</f>
        <v>120000</v>
      </c>
      <c r="AA18" s="98" t="n">
        <f aca="false">Q18*(1-$AA$8)</f>
        <v>1200</v>
      </c>
      <c r="AB18" s="93" t="n">
        <f aca="false">(AA18-O18)/AA18</f>
        <v>0.3806294</v>
      </c>
      <c r="AC18" s="104" t="s">
        <v>132</v>
      </c>
      <c r="AD18" s="88" t="n">
        <v>600</v>
      </c>
      <c r="AE18" s="101" t="n">
        <v>300</v>
      </c>
      <c r="AF18" s="101" t="n">
        <v>150</v>
      </c>
      <c r="AG18" s="101" t="n">
        <v>50</v>
      </c>
      <c r="AH18" s="101" t="n">
        <v>100</v>
      </c>
      <c r="AI18" s="101" t="n">
        <v>200</v>
      </c>
    </row>
    <row r="19" customFormat="false" ht="21.75" hidden="false" customHeight="true" outlineLevel="0" collapsed="false">
      <c r="B19" s="82"/>
      <c r="C19" s="108" t="s">
        <v>134</v>
      </c>
      <c r="D19" s="83" t="s">
        <v>129</v>
      </c>
      <c r="E19" s="84" t="n">
        <v>50</v>
      </c>
      <c r="F19" s="84" t="n">
        <v>50</v>
      </c>
      <c r="G19" s="84" t="n">
        <f aca="false">E19*$G$8</f>
        <v>9</v>
      </c>
      <c r="H19" s="85" t="n">
        <f aca="false">SUM(E19:G19)</f>
        <v>109</v>
      </c>
      <c r="I19" s="86" t="n">
        <f aca="false">H19*200</f>
        <v>21800</v>
      </c>
      <c r="J19" s="87" t="n">
        <v>5</v>
      </c>
      <c r="K19" s="88" t="n">
        <f aca="false">I19/1000*J19*(1+$K$8)</f>
        <v>119.9</v>
      </c>
      <c r="L19" s="89" t="n">
        <v>2</v>
      </c>
      <c r="M19" s="88" t="n">
        <f aca="false">$L$8*L19</f>
        <v>160</v>
      </c>
      <c r="N19" s="88" t="n">
        <f aca="false">SUM(K19:M19)*0.1</f>
        <v>28.19</v>
      </c>
      <c r="O19" s="90" t="n">
        <f aca="false">SUM(K19+M19+N19)</f>
        <v>308.09</v>
      </c>
      <c r="P19" s="91" t="n">
        <v>1000</v>
      </c>
      <c r="Q19" s="92" t="n">
        <v>1100</v>
      </c>
      <c r="R19" s="93" t="n">
        <f aca="false">(Q19-O19)/Q19</f>
        <v>0.719918181818182</v>
      </c>
      <c r="S19" s="102" t="n">
        <f aca="false">Q19/J19*1000</f>
        <v>220000</v>
      </c>
      <c r="T19" s="107"/>
      <c r="U19" s="96" t="n">
        <v>160000</v>
      </c>
      <c r="V19" s="97"/>
      <c r="W19" s="98" t="n">
        <f aca="false">S19*(1-$W$8)</f>
        <v>220000</v>
      </c>
      <c r="X19" s="98" t="n">
        <f aca="false">S19*(1-$X$8)</f>
        <v>198000</v>
      </c>
      <c r="Y19" s="98" t="n">
        <f aca="false">S19*(1-$Y$8)</f>
        <v>187000</v>
      </c>
      <c r="Z19" s="98" t="n">
        <f aca="false">S19*(1-$Z$8)</f>
        <v>176000</v>
      </c>
      <c r="AA19" s="98" t="n">
        <f aca="false">Q19*(1-$AA$8)</f>
        <v>880</v>
      </c>
      <c r="AB19" s="93" t="n">
        <f aca="false">(AA19-O19)/AA19</f>
        <v>0.649897727272727</v>
      </c>
      <c r="AC19" s="104" t="s">
        <v>132</v>
      </c>
      <c r="AD19" s="88" t="n">
        <v>550</v>
      </c>
      <c r="AE19" s="101" t="n">
        <v>300</v>
      </c>
      <c r="AF19" s="101" t="n">
        <v>150</v>
      </c>
      <c r="AG19" s="101" t="n">
        <v>50</v>
      </c>
      <c r="AH19" s="101" t="n">
        <v>100</v>
      </c>
      <c r="AI19" s="101" t="n">
        <v>200</v>
      </c>
    </row>
    <row r="20" customFormat="false" ht="21.75" hidden="false" customHeight="true" outlineLevel="0" collapsed="false">
      <c r="B20" s="82"/>
      <c r="C20" s="82"/>
      <c r="D20" s="82"/>
      <c r="E20" s="82"/>
      <c r="F20" s="82"/>
      <c r="G20" s="82"/>
      <c r="H20" s="82"/>
      <c r="I20" s="82"/>
      <c r="J20" s="87" t="n">
        <v>10</v>
      </c>
      <c r="K20" s="88" t="n">
        <f aca="false">I19/1000*J20*(1+$K$8)</f>
        <v>239.8</v>
      </c>
      <c r="L20" s="89" t="n">
        <v>2</v>
      </c>
      <c r="M20" s="88" t="n">
        <f aca="false">$L$8*L20</f>
        <v>160</v>
      </c>
      <c r="N20" s="88" t="n">
        <f aca="false">SUM(K20:M20)*0.1</f>
        <v>40.18</v>
      </c>
      <c r="O20" s="90" t="n">
        <f aca="false">SUM(K20+M20+N20)</f>
        <v>439.98</v>
      </c>
      <c r="P20" s="91" t="n">
        <v>1000</v>
      </c>
      <c r="Q20" s="92" t="n">
        <v>1400</v>
      </c>
      <c r="R20" s="93" t="n">
        <f aca="false">(Q20-O20)/Q20</f>
        <v>0.685728571428572</v>
      </c>
      <c r="S20" s="102" t="n">
        <f aca="false">Q20/J20*1000</f>
        <v>140000</v>
      </c>
      <c r="T20" s="105"/>
      <c r="U20" s="96"/>
      <c r="V20" s="106"/>
      <c r="W20" s="98" t="n">
        <f aca="false">S20*(1-$W$8)</f>
        <v>140000</v>
      </c>
      <c r="X20" s="98" t="n">
        <f aca="false">S20*(1-$X$8)</f>
        <v>126000</v>
      </c>
      <c r="Y20" s="98" t="n">
        <f aca="false">S20*(1-$Y$8)</f>
        <v>119000</v>
      </c>
      <c r="Z20" s="98" t="n">
        <f aca="false">S20*(1-$Z$8)</f>
        <v>112000</v>
      </c>
      <c r="AA20" s="98" t="n">
        <f aca="false">Q20*(1-$AA$8)</f>
        <v>1120</v>
      </c>
      <c r="AB20" s="93" t="n">
        <f aca="false">(AA20-O20)/AA20</f>
        <v>0.607160714285714</v>
      </c>
      <c r="AC20" s="104" t="s">
        <v>132</v>
      </c>
      <c r="AD20" s="88" t="n">
        <v>600</v>
      </c>
      <c r="AE20" s="101" t="n">
        <v>300</v>
      </c>
      <c r="AF20" s="101" t="n">
        <v>150</v>
      </c>
      <c r="AG20" s="101" t="n">
        <v>50</v>
      </c>
      <c r="AH20" s="101" t="n">
        <v>100</v>
      </c>
      <c r="AI20" s="101" t="n">
        <v>200</v>
      </c>
    </row>
    <row r="21" customFormat="false" ht="21.75" hidden="false" customHeight="true" outlineLevel="0" collapsed="false">
      <c r="B21" s="109"/>
      <c r="C21" s="110"/>
      <c r="D21" s="110"/>
      <c r="E21" s="111"/>
      <c r="F21" s="111"/>
      <c r="G21" s="111"/>
      <c r="H21" s="112"/>
      <c r="I21" s="113"/>
      <c r="K21" s="55"/>
      <c r="L21" s="114"/>
      <c r="M21" s="55"/>
      <c r="N21" s="55"/>
      <c r="O21" s="115"/>
      <c r="Q21" s="115"/>
      <c r="R21" s="116"/>
      <c r="S21" s="117"/>
      <c r="T21" s="117"/>
      <c r="U21" s="118"/>
      <c r="V21" s="118"/>
      <c r="W21" s="117"/>
      <c r="X21" s="117"/>
      <c r="Y21" s="117"/>
      <c r="Z21" s="117"/>
      <c r="AA21" s="117"/>
      <c r="AB21" s="116"/>
      <c r="AD21" s="55"/>
      <c r="AE21" s="119"/>
      <c r="AF21" s="119"/>
      <c r="AG21" s="119"/>
      <c r="AH21" s="119"/>
      <c r="AI21" s="119"/>
    </row>
    <row r="22" customFormat="false" ht="21.75" hidden="false" customHeight="true" outlineLevel="0" collapsed="false">
      <c r="B22" s="109"/>
      <c r="C22" s="110"/>
      <c r="D22" s="110"/>
      <c r="E22" s="111"/>
      <c r="F22" s="111"/>
      <c r="G22" s="111"/>
      <c r="H22" s="112"/>
      <c r="I22" s="113"/>
      <c r="K22" s="55"/>
      <c r="L22" s="114"/>
      <c r="M22" s="55"/>
      <c r="N22" s="55"/>
      <c r="O22" s="115"/>
      <c r="Q22" s="115"/>
      <c r="R22" s="116"/>
      <c r="S22" s="117"/>
      <c r="T22" s="117"/>
      <c r="U22" s="118"/>
      <c r="V22" s="118"/>
      <c r="W22" s="117"/>
      <c r="X22" s="117"/>
      <c r="Y22" s="117"/>
      <c r="Z22" s="117"/>
      <c r="AA22" s="117"/>
      <c r="AB22" s="116"/>
      <c r="AD22" s="55"/>
      <c r="AE22" s="119"/>
      <c r="AF22" s="119"/>
      <c r="AG22" s="119"/>
      <c r="AH22" s="119"/>
      <c r="AI22" s="119"/>
    </row>
    <row r="23" customFormat="false" ht="21.75" hidden="false" customHeight="true" outlineLevel="0" collapsed="false">
      <c r="B23" s="109"/>
      <c r="C23" s="110"/>
      <c r="D23" s="110"/>
      <c r="E23" s="111"/>
      <c r="F23" s="111"/>
      <c r="G23" s="111"/>
      <c r="H23" s="112"/>
      <c r="I23" s="113"/>
      <c r="K23" s="55"/>
      <c r="L23" s="114"/>
      <c r="M23" s="55"/>
      <c r="N23" s="55"/>
      <c r="O23" s="115"/>
      <c r="Q23" s="115"/>
      <c r="R23" s="116"/>
      <c r="S23" s="117"/>
      <c r="T23" s="117"/>
      <c r="U23" s="118"/>
      <c r="V23" s="118"/>
      <c r="W23" s="117"/>
      <c r="X23" s="117"/>
      <c r="Y23" s="117"/>
      <c r="Z23" s="117"/>
      <c r="AA23" s="117"/>
      <c r="AB23" s="116"/>
      <c r="AD23" s="55"/>
      <c r="AE23" s="119"/>
      <c r="AF23" s="119"/>
      <c r="AG23" s="119"/>
      <c r="AH23" s="119"/>
      <c r="AI23" s="119"/>
    </row>
    <row r="24" customFormat="false" ht="21.75" hidden="false" customHeight="true" outlineLevel="0" collapsed="false">
      <c r="B24" s="109"/>
      <c r="C24" s="110"/>
      <c r="D24" s="110"/>
      <c r="E24" s="111"/>
      <c r="F24" s="111"/>
      <c r="G24" s="111"/>
      <c r="H24" s="112"/>
      <c r="I24" s="113"/>
      <c r="K24" s="55"/>
      <c r="L24" s="114"/>
      <c r="M24" s="55"/>
      <c r="N24" s="55"/>
      <c r="O24" s="115"/>
      <c r="Q24" s="115"/>
      <c r="R24" s="116"/>
      <c r="S24" s="117"/>
      <c r="T24" s="117"/>
      <c r="U24" s="118"/>
      <c r="V24" s="118"/>
      <c r="W24" s="117"/>
      <c r="X24" s="117"/>
      <c r="Y24" s="117"/>
      <c r="Z24" s="117"/>
      <c r="AA24" s="117"/>
      <c r="AB24" s="116"/>
      <c r="AD24" s="55"/>
      <c r="AE24" s="119"/>
      <c r="AF24" s="119"/>
      <c r="AG24" s="119"/>
      <c r="AH24" s="119"/>
      <c r="AI24" s="119"/>
    </row>
    <row r="25" customFormat="false" ht="21.75" hidden="false" customHeight="true" outlineLevel="0" collapsed="false">
      <c r="B25" s="109"/>
      <c r="C25" s="110"/>
      <c r="D25" s="110"/>
      <c r="E25" s="111"/>
      <c r="F25" s="111"/>
      <c r="G25" s="111"/>
      <c r="H25" s="112"/>
      <c r="I25" s="113"/>
      <c r="K25" s="55"/>
      <c r="L25" s="114"/>
      <c r="M25" s="55"/>
      <c r="N25" s="55"/>
      <c r="O25" s="115"/>
      <c r="Q25" s="115"/>
      <c r="R25" s="116"/>
      <c r="S25" s="117"/>
      <c r="T25" s="117"/>
      <c r="U25" s="118"/>
      <c r="V25" s="118"/>
      <c r="W25" s="117"/>
      <c r="X25" s="117"/>
      <c r="Y25" s="117"/>
      <c r="Z25" s="117"/>
      <c r="AA25" s="117"/>
      <c r="AB25" s="116"/>
      <c r="AD25" s="55"/>
      <c r="AE25" s="119"/>
      <c r="AF25" s="119"/>
      <c r="AG25" s="119"/>
      <c r="AH25" s="119"/>
      <c r="AI25" s="119"/>
    </row>
    <row r="26" customFormat="false" ht="21.75" hidden="false" customHeight="true" outlineLevel="0" collapsed="false">
      <c r="B26" s="109"/>
      <c r="C26" s="110"/>
      <c r="D26" s="110"/>
      <c r="E26" s="111"/>
      <c r="F26" s="111"/>
      <c r="G26" s="111"/>
      <c r="H26" s="112"/>
      <c r="I26" s="113"/>
      <c r="K26" s="55"/>
      <c r="L26" s="114"/>
      <c r="M26" s="55"/>
      <c r="N26" s="55"/>
      <c r="O26" s="115"/>
      <c r="Q26" s="115"/>
      <c r="R26" s="116"/>
      <c r="S26" s="117"/>
      <c r="T26" s="117"/>
      <c r="U26" s="118"/>
      <c r="V26" s="118"/>
      <c r="W26" s="117"/>
      <c r="X26" s="117"/>
      <c r="Y26" s="117"/>
      <c r="Z26" s="117"/>
      <c r="AA26" s="117"/>
      <c r="AB26" s="116"/>
      <c r="AD26" s="55"/>
      <c r="AE26" s="119"/>
      <c r="AF26" s="119"/>
      <c r="AG26" s="119"/>
      <c r="AH26" s="119"/>
      <c r="AI26" s="119"/>
    </row>
    <row r="27" customFormat="false" ht="21.75" hidden="false" customHeight="true" outlineLevel="0" collapsed="false">
      <c r="B27" s="109"/>
      <c r="C27" s="110"/>
      <c r="D27" s="110"/>
      <c r="E27" s="111"/>
      <c r="F27" s="111"/>
      <c r="G27" s="111"/>
      <c r="H27" s="112"/>
      <c r="I27" s="113"/>
      <c r="K27" s="55"/>
      <c r="L27" s="114"/>
      <c r="M27" s="55"/>
      <c r="N27" s="55"/>
      <c r="O27" s="115"/>
      <c r="Q27" s="115"/>
      <c r="R27" s="116"/>
      <c r="S27" s="117"/>
      <c r="T27" s="117"/>
      <c r="U27" s="118"/>
      <c r="V27" s="118"/>
      <c r="W27" s="117"/>
      <c r="X27" s="117"/>
      <c r="Y27" s="117"/>
      <c r="Z27" s="117"/>
      <c r="AA27" s="117"/>
      <c r="AB27" s="116"/>
      <c r="AD27" s="55"/>
      <c r="AE27" s="119"/>
      <c r="AF27" s="119"/>
      <c r="AG27" s="119"/>
      <c r="AH27" s="119"/>
      <c r="AI27" s="119"/>
    </row>
    <row r="28" customFormat="false" ht="21.75" hidden="false" customHeight="true" outlineLevel="0" collapsed="false">
      <c r="B28" s="109"/>
      <c r="C28" s="110"/>
      <c r="D28" s="110"/>
      <c r="E28" s="111"/>
      <c r="F28" s="111"/>
      <c r="G28" s="111"/>
      <c r="H28" s="112"/>
      <c r="I28" s="113"/>
      <c r="K28" s="55"/>
      <c r="L28" s="114"/>
      <c r="M28" s="55"/>
      <c r="N28" s="55"/>
      <c r="O28" s="115"/>
      <c r="Q28" s="115"/>
      <c r="R28" s="116"/>
      <c r="S28" s="117"/>
      <c r="T28" s="117"/>
      <c r="U28" s="118"/>
      <c r="V28" s="118"/>
      <c r="W28" s="117"/>
      <c r="X28" s="117"/>
      <c r="Y28" s="117"/>
      <c r="Z28" s="117"/>
      <c r="AA28" s="117"/>
      <c r="AB28" s="116"/>
      <c r="AD28" s="55"/>
      <c r="AE28" s="119"/>
      <c r="AF28" s="119"/>
      <c r="AG28" s="119"/>
      <c r="AH28" s="119"/>
      <c r="AI28" s="119"/>
    </row>
    <row r="29" customFormat="false" ht="34.5" hidden="false" customHeight="true" outlineLevel="0" collapsed="false">
      <c r="B29" s="51" t="s">
        <v>135</v>
      </c>
      <c r="C29" s="54"/>
      <c r="D29" s="54"/>
      <c r="E29" s="54"/>
      <c r="F29" s="54"/>
      <c r="K29" s="55"/>
    </row>
    <row r="30" customFormat="false" ht="21.75" hidden="false" customHeight="true" outlineLevel="0" collapsed="false">
      <c r="K30" s="56"/>
      <c r="M30" s="47" t="s">
        <v>89</v>
      </c>
      <c r="Q30" s="57" t="s">
        <v>90</v>
      </c>
      <c r="U30" s="57" t="s">
        <v>91</v>
      </c>
      <c r="V30" s="47"/>
      <c r="W30" s="58" t="s">
        <v>92</v>
      </c>
      <c r="X30" s="58"/>
      <c r="Y30" s="58"/>
      <c r="Z30" s="58"/>
      <c r="AA30" s="59"/>
      <c r="AB30" s="59"/>
      <c r="AD30" s="60" t="s">
        <v>93</v>
      </c>
      <c r="AE30" s="60"/>
      <c r="AF30" s="60"/>
      <c r="AG30" s="60"/>
      <c r="AH30" s="60"/>
      <c r="AI30" s="60"/>
    </row>
    <row r="31" customFormat="false" ht="21.75" hidden="false" customHeight="true" outlineLevel="0" collapsed="false">
      <c r="B31" s="61" t="s">
        <v>94</v>
      </c>
      <c r="C31" s="61" t="s">
        <v>8</v>
      </c>
      <c r="D31" s="61" t="s">
        <v>95</v>
      </c>
      <c r="E31" s="62" t="s">
        <v>96</v>
      </c>
      <c r="F31" s="62" t="s">
        <v>97</v>
      </c>
      <c r="G31" s="62" t="s">
        <v>98</v>
      </c>
      <c r="H31" s="62" t="s">
        <v>99</v>
      </c>
      <c r="I31" s="62" t="s">
        <v>100</v>
      </c>
      <c r="J31" s="63" t="s">
        <v>101</v>
      </c>
      <c r="K31" s="64" t="s">
        <v>102</v>
      </c>
      <c r="L31" s="64" t="s">
        <v>103</v>
      </c>
      <c r="M31" s="64" t="s">
        <v>104</v>
      </c>
      <c r="N31" s="63" t="s">
        <v>105</v>
      </c>
      <c r="O31" s="64" t="s">
        <v>106</v>
      </c>
      <c r="P31" s="65" t="s">
        <v>107</v>
      </c>
      <c r="Q31" s="66" t="s">
        <v>108</v>
      </c>
      <c r="R31" s="67" t="s">
        <v>14</v>
      </c>
      <c r="S31" s="68" t="s">
        <v>109</v>
      </c>
      <c r="T31" s="69" t="s">
        <v>110</v>
      </c>
      <c r="U31" s="70" t="s">
        <v>111</v>
      </c>
      <c r="V31" s="71"/>
      <c r="W31" s="72" t="s">
        <v>112</v>
      </c>
      <c r="X31" s="72" t="s">
        <v>113</v>
      </c>
      <c r="Y31" s="72" t="s">
        <v>114</v>
      </c>
      <c r="Z31" s="72" t="s">
        <v>115</v>
      </c>
      <c r="AA31" s="72" t="s">
        <v>115</v>
      </c>
      <c r="AB31" s="62" t="s">
        <v>116</v>
      </c>
      <c r="AC31" s="62" t="s">
        <v>117</v>
      </c>
      <c r="AD31" s="60" t="s">
        <v>4</v>
      </c>
      <c r="AE31" s="60" t="s">
        <v>21</v>
      </c>
      <c r="AF31" s="60" t="s">
        <v>22</v>
      </c>
      <c r="AG31" s="60" t="s">
        <v>118</v>
      </c>
      <c r="AH31" s="60" t="s">
        <v>119</v>
      </c>
      <c r="AI31" s="60" t="s">
        <v>25</v>
      </c>
    </row>
    <row r="32" customFormat="false" ht="21.75" hidden="false" customHeight="true" outlineLevel="0" collapsed="false">
      <c r="B32" s="61"/>
      <c r="C32" s="61"/>
      <c r="D32" s="61"/>
      <c r="E32" s="61"/>
      <c r="F32" s="61"/>
      <c r="G32" s="62"/>
      <c r="H32" s="62"/>
      <c r="I32" s="62"/>
      <c r="J32" s="62"/>
      <c r="K32" s="64" t="s">
        <v>120</v>
      </c>
      <c r="L32" s="64" t="s">
        <v>121</v>
      </c>
      <c r="M32" s="73" t="s">
        <v>122</v>
      </c>
      <c r="N32" s="74" t="s">
        <v>123</v>
      </c>
      <c r="O32" s="74" t="s">
        <v>124</v>
      </c>
      <c r="P32" s="65"/>
      <c r="Q32" s="75" t="s">
        <v>125</v>
      </c>
      <c r="R32" s="76" t="s">
        <v>126</v>
      </c>
      <c r="S32" s="68"/>
      <c r="T32" s="69"/>
      <c r="U32" s="70"/>
      <c r="V32" s="77"/>
      <c r="W32" s="78" t="s">
        <v>127</v>
      </c>
      <c r="X32" s="78" t="s">
        <v>127</v>
      </c>
      <c r="Y32" s="78" t="s">
        <v>127</v>
      </c>
      <c r="Z32" s="78" t="s">
        <v>127</v>
      </c>
      <c r="AA32" s="78" t="s">
        <v>127</v>
      </c>
      <c r="AB32" s="78"/>
      <c r="AC32" s="62"/>
      <c r="AD32" s="62"/>
      <c r="AE32" s="62"/>
      <c r="AF32" s="62"/>
      <c r="AG32" s="62"/>
      <c r="AH32" s="60"/>
      <c r="AI32" s="60"/>
    </row>
    <row r="33" customFormat="false" ht="16.5" hidden="false" customHeight="true" outlineLevel="0" collapsed="false">
      <c r="B33" s="61"/>
      <c r="C33" s="61"/>
      <c r="D33" s="61"/>
      <c r="E33" s="61"/>
      <c r="F33" s="61"/>
      <c r="G33" s="79" t="n">
        <v>0.18</v>
      </c>
      <c r="H33" s="62"/>
      <c r="I33" s="62"/>
      <c r="J33" s="62"/>
      <c r="K33" s="80" t="n">
        <v>0.1</v>
      </c>
      <c r="L33" s="74" t="n">
        <v>80</v>
      </c>
      <c r="M33" s="73"/>
      <c r="N33" s="73"/>
      <c r="O33" s="73"/>
      <c r="P33" s="65"/>
      <c r="Q33" s="75"/>
      <c r="R33" s="76"/>
      <c r="S33" s="68"/>
      <c r="T33" s="69"/>
      <c r="U33" s="70"/>
      <c r="V33" s="81"/>
      <c r="W33" s="79" t="n">
        <v>0</v>
      </c>
      <c r="X33" s="79" t="n">
        <v>0.1</v>
      </c>
      <c r="Y33" s="79" t="n">
        <v>0.15</v>
      </c>
      <c r="Z33" s="79" t="n">
        <v>0.2</v>
      </c>
      <c r="AA33" s="79" t="n">
        <v>0.2</v>
      </c>
      <c r="AB33" s="79"/>
      <c r="AC33" s="62"/>
      <c r="AD33" s="62"/>
      <c r="AE33" s="62"/>
      <c r="AF33" s="62"/>
      <c r="AG33" s="62"/>
      <c r="AH33" s="60"/>
      <c r="AI33" s="60"/>
    </row>
    <row r="34" customFormat="false" ht="21.75" hidden="false" customHeight="true" outlineLevel="0" collapsed="false">
      <c r="B34" s="104" t="s">
        <v>34</v>
      </c>
      <c r="C34" s="108" t="s">
        <v>136</v>
      </c>
      <c r="D34" s="83" t="s">
        <v>129</v>
      </c>
      <c r="E34" s="84" t="n">
        <v>310</v>
      </c>
      <c r="F34" s="84" t="n">
        <v>50</v>
      </c>
      <c r="G34" s="84" t="n">
        <f aca="false">E34*$G$8</f>
        <v>55.8</v>
      </c>
      <c r="H34" s="85" t="n">
        <f aca="false">SUM(E34:G34)</f>
        <v>415.8</v>
      </c>
      <c r="I34" s="86" t="n">
        <f aca="false">H34*200</f>
        <v>83160</v>
      </c>
      <c r="J34" s="87" t="n">
        <v>3</v>
      </c>
      <c r="K34" s="88" t="n">
        <f aca="false">I34/1000*J34*(1+$K$8)</f>
        <v>274.428</v>
      </c>
      <c r="L34" s="89" t="n">
        <v>3</v>
      </c>
      <c r="M34" s="88" t="n">
        <f aca="false">$L$8*L34</f>
        <v>240</v>
      </c>
      <c r="N34" s="88" t="n">
        <f aca="false">SUM(K34:M34)*0.1</f>
        <v>51.7428</v>
      </c>
      <c r="O34" s="90" t="n">
        <f aca="false">SUM(K34+M34+N34)</f>
        <v>566.1708</v>
      </c>
      <c r="P34" s="91" t="n">
        <v>500</v>
      </c>
      <c r="Q34" s="92" t="n">
        <v>3500</v>
      </c>
      <c r="R34" s="93" t="n">
        <f aca="false">(Q34-O34)/Q34</f>
        <v>0.838236914285714</v>
      </c>
      <c r="S34" s="102" t="n">
        <f aca="false">Q34/J34*1000</f>
        <v>1166666.66666667</v>
      </c>
      <c r="T34" s="107"/>
      <c r="U34" s="96" t="n">
        <v>400000</v>
      </c>
      <c r="V34" s="97"/>
      <c r="W34" s="98" t="n">
        <f aca="false">S34*(1-$W$8)</f>
        <v>1166666.66666667</v>
      </c>
      <c r="X34" s="98" t="n">
        <f aca="false">S34*(1-$X$8)</f>
        <v>1050000</v>
      </c>
      <c r="Y34" s="98" t="n">
        <f aca="false">S34*(1-$Y$8)</f>
        <v>991666.666666667</v>
      </c>
      <c r="Z34" s="98" t="n">
        <f aca="false">S34*(1-$Z$8)</f>
        <v>933333.333333334</v>
      </c>
      <c r="AA34" s="98" t="n">
        <f aca="false">Q34*(1-$AA$8)</f>
        <v>2800</v>
      </c>
      <c r="AB34" s="93" t="n">
        <f aca="false">(AA34-O34)/AA34</f>
        <v>0.797796142857143</v>
      </c>
      <c r="AC34" s="100" t="s">
        <v>130</v>
      </c>
      <c r="AD34" s="88" t="s">
        <v>131</v>
      </c>
      <c r="AE34" s="101" t="n">
        <v>300</v>
      </c>
      <c r="AF34" s="101" t="n">
        <v>150</v>
      </c>
      <c r="AG34" s="101" t="n">
        <v>50</v>
      </c>
      <c r="AH34" s="101" t="n">
        <v>100</v>
      </c>
      <c r="AI34" s="101" t="n">
        <v>200</v>
      </c>
    </row>
    <row r="35" customFormat="false" ht="21.75" hidden="false" customHeight="true" outlineLevel="0" collapsed="false">
      <c r="B35" s="104"/>
      <c r="C35" s="104"/>
      <c r="D35" s="104"/>
      <c r="E35" s="104"/>
      <c r="F35" s="104"/>
      <c r="G35" s="104"/>
      <c r="H35" s="104"/>
      <c r="I35" s="104"/>
      <c r="J35" s="87" t="n">
        <v>5</v>
      </c>
      <c r="K35" s="88" t="n">
        <f aca="false">I34/1000*J35*(1+$K$8)</f>
        <v>457.38</v>
      </c>
      <c r="L35" s="89" t="n">
        <v>3</v>
      </c>
      <c r="M35" s="88" t="n">
        <f aca="false">$L$8*L35</f>
        <v>240</v>
      </c>
      <c r="N35" s="88" t="n">
        <f aca="false">SUM(K35:M35)*0.1</f>
        <v>70.038</v>
      </c>
      <c r="O35" s="90" t="n">
        <f aca="false">SUM(K35+M35+N35)</f>
        <v>767.418</v>
      </c>
      <c r="P35" s="91" t="n">
        <v>500</v>
      </c>
      <c r="Q35" s="92" t="n">
        <v>4500</v>
      </c>
      <c r="R35" s="120" t="n">
        <f aca="false">(Q35-O35)/Q35</f>
        <v>0.829462666666667</v>
      </c>
      <c r="S35" s="102" t="n">
        <f aca="false">Q35/J35*1000</f>
        <v>900000</v>
      </c>
      <c r="T35" s="95"/>
      <c r="U35" s="96"/>
      <c r="V35" s="103"/>
      <c r="W35" s="98" t="n">
        <f aca="false">S35*(1-$W$8)</f>
        <v>900000</v>
      </c>
      <c r="X35" s="98" t="n">
        <f aca="false">S35*(1-$X$8)</f>
        <v>810000</v>
      </c>
      <c r="Y35" s="98" t="n">
        <f aca="false">S35*(1-$Y$8)</f>
        <v>765000</v>
      </c>
      <c r="Z35" s="98" t="n">
        <f aca="false">S35*(1-$Z$8)</f>
        <v>720000</v>
      </c>
      <c r="AA35" s="98" t="n">
        <f aca="false">Q35*(1-$AA$8)</f>
        <v>3600</v>
      </c>
      <c r="AB35" s="93" t="n">
        <f aca="false">(AA35-O35)/AA35</f>
        <v>0.786828333333333</v>
      </c>
      <c r="AC35" s="100" t="s">
        <v>130</v>
      </c>
      <c r="AD35" s="88" t="s">
        <v>131</v>
      </c>
      <c r="AE35" s="101" t="n">
        <v>300</v>
      </c>
      <c r="AF35" s="101" t="n">
        <v>150</v>
      </c>
      <c r="AG35" s="101" t="n">
        <v>50</v>
      </c>
      <c r="AH35" s="101" t="n">
        <v>100</v>
      </c>
      <c r="AI35" s="101" t="n">
        <v>200</v>
      </c>
    </row>
    <row r="36" customFormat="false" ht="21.75" hidden="false" customHeight="true" outlineLevel="0" collapsed="false">
      <c r="B36" s="104"/>
      <c r="C36" s="108"/>
      <c r="D36" s="108"/>
      <c r="E36" s="108"/>
      <c r="F36" s="108"/>
      <c r="G36" s="108"/>
      <c r="H36" s="108"/>
      <c r="I36" s="108"/>
      <c r="J36" s="87" t="n">
        <v>10</v>
      </c>
      <c r="K36" s="88" t="n">
        <f aca="false">I34/1000*J36*(1+$K$8)</f>
        <v>914.76</v>
      </c>
      <c r="L36" s="89" t="n">
        <v>3</v>
      </c>
      <c r="M36" s="88" t="n">
        <f aca="false">$L$8*L36</f>
        <v>240</v>
      </c>
      <c r="N36" s="88" t="n">
        <f aca="false">SUM(K36:M36)*0.1</f>
        <v>115.776</v>
      </c>
      <c r="O36" s="90" t="n">
        <f aca="false">SUM(K36+M36+N36)</f>
        <v>1270.536</v>
      </c>
      <c r="P36" s="91" t="n">
        <v>500</v>
      </c>
      <c r="Q36" s="92" t="n">
        <v>7000</v>
      </c>
      <c r="R36" s="120" t="n">
        <f aca="false">(Q36-O36)/Q36</f>
        <v>0.818494857142857</v>
      </c>
      <c r="S36" s="102" t="n">
        <f aca="false">Q36/J36*1000</f>
        <v>700000</v>
      </c>
      <c r="T36" s="105"/>
      <c r="U36" s="96"/>
      <c r="V36" s="106"/>
      <c r="W36" s="98" t="n">
        <f aca="false">S36*(1-$W$8)</f>
        <v>700000</v>
      </c>
      <c r="X36" s="98" t="n">
        <f aca="false">S36*(1-$X$8)</f>
        <v>630000</v>
      </c>
      <c r="Y36" s="98" t="n">
        <f aca="false">S36*(1-$Y$8)</f>
        <v>595000</v>
      </c>
      <c r="Z36" s="98" t="n">
        <f aca="false">S36*(1-$Z$8)</f>
        <v>560000</v>
      </c>
      <c r="AA36" s="98" t="n">
        <f aca="false">Q36*(1-$AA$8)</f>
        <v>5600</v>
      </c>
      <c r="AB36" s="93" t="n">
        <f aca="false">(AA36-O36)/AA36</f>
        <v>0.773118571428571</v>
      </c>
      <c r="AC36" s="100" t="s">
        <v>130</v>
      </c>
      <c r="AD36" s="88" t="s">
        <v>131</v>
      </c>
      <c r="AE36" s="101" t="n">
        <v>300</v>
      </c>
      <c r="AF36" s="101" t="n">
        <v>150</v>
      </c>
      <c r="AG36" s="101" t="n">
        <v>50</v>
      </c>
      <c r="AH36" s="101" t="n">
        <v>100</v>
      </c>
      <c r="AI36" s="101" t="n">
        <v>200</v>
      </c>
    </row>
    <row r="37" customFormat="false" ht="21.75" hidden="false" customHeight="true" outlineLevel="0" collapsed="false">
      <c r="B37" s="104"/>
      <c r="C37" s="108" t="s">
        <v>137</v>
      </c>
      <c r="D37" s="83" t="s">
        <v>129</v>
      </c>
      <c r="E37" s="84" t="n">
        <v>450</v>
      </c>
      <c r="F37" s="84" t="n">
        <v>50</v>
      </c>
      <c r="G37" s="84" t="n">
        <f aca="false">E37*$G$8</f>
        <v>81</v>
      </c>
      <c r="H37" s="85" t="n">
        <f aca="false">SUM(E37:G37)</f>
        <v>581</v>
      </c>
      <c r="I37" s="86" t="n">
        <f aca="false">H37*200</f>
        <v>116200</v>
      </c>
      <c r="J37" s="87" t="n">
        <v>3</v>
      </c>
      <c r="K37" s="88" t="n">
        <f aca="false">I37/1000*J37*(1+$K$8)</f>
        <v>383.46</v>
      </c>
      <c r="L37" s="89" t="n">
        <v>3</v>
      </c>
      <c r="M37" s="88" t="n">
        <f aca="false">$L$8*L37</f>
        <v>240</v>
      </c>
      <c r="N37" s="88" t="n">
        <f aca="false">SUM(K37:M37)*0.1</f>
        <v>62.646</v>
      </c>
      <c r="O37" s="90" t="n">
        <f aca="false">SUM(K37+M37+N37)</f>
        <v>686.106</v>
      </c>
      <c r="P37" s="91" t="n">
        <v>500</v>
      </c>
      <c r="Q37" s="92" t="n">
        <v>3500</v>
      </c>
      <c r="R37" s="120" t="n">
        <f aca="false">(Q37-O37)/Q37</f>
        <v>0.803969714285714</v>
      </c>
      <c r="S37" s="102" t="n">
        <f aca="false">Q37/J37*1000</f>
        <v>1166666.66666667</v>
      </c>
      <c r="T37" s="107"/>
      <c r="U37" s="96" t="n">
        <v>400000</v>
      </c>
      <c r="V37" s="97"/>
      <c r="W37" s="98" t="n">
        <f aca="false">S37*(1-$W$8)</f>
        <v>1166666.66666667</v>
      </c>
      <c r="X37" s="98" t="n">
        <f aca="false">S37*(1-$X$8)</f>
        <v>1050000</v>
      </c>
      <c r="Y37" s="98" t="n">
        <f aca="false">S37*(1-$Y$8)</f>
        <v>991666.666666667</v>
      </c>
      <c r="Z37" s="98" t="n">
        <f aca="false">S37*(1-$Z$8)</f>
        <v>933333.333333334</v>
      </c>
      <c r="AA37" s="98" t="n">
        <f aca="false">Q37*(1-$AA$8)</f>
        <v>2800</v>
      </c>
      <c r="AB37" s="93" t="n">
        <f aca="false">(AA37-O37)/AA37</f>
        <v>0.754962142857143</v>
      </c>
      <c r="AC37" s="100" t="s">
        <v>130</v>
      </c>
      <c r="AD37" s="88" t="s">
        <v>131</v>
      </c>
      <c r="AE37" s="101" t="n">
        <v>300</v>
      </c>
      <c r="AF37" s="101" t="n">
        <v>150</v>
      </c>
      <c r="AG37" s="101" t="n">
        <v>50</v>
      </c>
      <c r="AH37" s="101" t="n">
        <v>100</v>
      </c>
      <c r="AI37" s="101" t="n">
        <v>200</v>
      </c>
    </row>
    <row r="38" customFormat="false" ht="21.75" hidden="false" customHeight="true" outlineLevel="0" collapsed="false">
      <c r="B38" s="104"/>
      <c r="C38" s="104"/>
      <c r="D38" s="104"/>
      <c r="E38" s="104"/>
      <c r="F38" s="104"/>
      <c r="G38" s="104"/>
      <c r="H38" s="104"/>
      <c r="I38" s="104"/>
      <c r="J38" s="87" t="n">
        <v>5</v>
      </c>
      <c r="K38" s="88" t="n">
        <f aca="false">I37/1000*J38*(1+$K$8)</f>
        <v>639.1</v>
      </c>
      <c r="L38" s="89" t="n">
        <v>3</v>
      </c>
      <c r="M38" s="88" t="n">
        <f aca="false">$L$8*L38</f>
        <v>240</v>
      </c>
      <c r="N38" s="88" t="n">
        <f aca="false">SUM(K38:M38)*0.1</f>
        <v>88.21</v>
      </c>
      <c r="O38" s="90" t="n">
        <f aca="false">SUM(K38+M38+N38)</f>
        <v>967.31</v>
      </c>
      <c r="P38" s="91" t="n">
        <v>500</v>
      </c>
      <c r="Q38" s="92" t="n">
        <v>4500</v>
      </c>
      <c r="R38" s="120" t="n">
        <f aca="false">(Q38-O38)/Q38</f>
        <v>0.785042222222222</v>
      </c>
      <c r="S38" s="102" t="n">
        <f aca="false">Q38/J38*1000</f>
        <v>900000</v>
      </c>
      <c r="T38" s="95"/>
      <c r="U38" s="96"/>
      <c r="V38" s="103"/>
      <c r="W38" s="98" t="n">
        <f aca="false">S38*(1-$W$8)</f>
        <v>900000</v>
      </c>
      <c r="X38" s="98" t="n">
        <f aca="false">S38*(1-$X$8)</f>
        <v>810000</v>
      </c>
      <c r="Y38" s="98" t="n">
        <f aca="false">S38*(1-$Y$8)</f>
        <v>765000</v>
      </c>
      <c r="Z38" s="98" t="n">
        <f aca="false">S38*(1-$Z$8)</f>
        <v>720000</v>
      </c>
      <c r="AA38" s="98" t="n">
        <f aca="false">Q38*(1-$AA$8)</f>
        <v>3600</v>
      </c>
      <c r="AB38" s="93" t="n">
        <f aca="false">(AA38-O38)/AA38</f>
        <v>0.731302777777778</v>
      </c>
      <c r="AC38" s="100" t="s">
        <v>130</v>
      </c>
      <c r="AD38" s="88" t="s">
        <v>131</v>
      </c>
      <c r="AE38" s="101" t="n">
        <v>300</v>
      </c>
      <c r="AF38" s="101" t="n">
        <v>150</v>
      </c>
      <c r="AG38" s="101" t="n">
        <v>50</v>
      </c>
      <c r="AH38" s="101" t="n">
        <v>100</v>
      </c>
      <c r="AI38" s="101" t="n">
        <v>200</v>
      </c>
    </row>
    <row r="39" customFormat="false" ht="21.75" hidden="false" customHeight="true" outlineLevel="0" collapsed="false">
      <c r="B39" s="104"/>
      <c r="C39" s="108"/>
      <c r="D39" s="108"/>
      <c r="E39" s="108"/>
      <c r="F39" s="108"/>
      <c r="G39" s="108"/>
      <c r="H39" s="108"/>
      <c r="I39" s="108"/>
      <c r="J39" s="87" t="n">
        <v>10</v>
      </c>
      <c r="K39" s="88" t="n">
        <f aca="false">I37/1000*J39*(1+$K$8)</f>
        <v>1278.2</v>
      </c>
      <c r="L39" s="89" t="n">
        <v>3</v>
      </c>
      <c r="M39" s="88" t="n">
        <f aca="false">$L$8*L39</f>
        <v>240</v>
      </c>
      <c r="N39" s="88" t="n">
        <f aca="false">SUM(K39:M39)*0.1</f>
        <v>152.12</v>
      </c>
      <c r="O39" s="90" t="n">
        <f aca="false">SUM(K39+M39+N39)</f>
        <v>1670.32</v>
      </c>
      <c r="P39" s="91" t="n">
        <v>500</v>
      </c>
      <c r="Q39" s="92" t="n">
        <v>7000</v>
      </c>
      <c r="R39" s="93" t="n">
        <f aca="false">(Q39-O39)/Q39</f>
        <v>0.761382857142857</v>
      </c>
      <c r="S39" s="102" t="n">
        <f aca="false">Q39/J39*1000</f>
        <v>700000</v>
      </c>
      <c r="T39" s="105"/>
      <c r="U39" s="96"/>
      <c r="V39" s="106"/>
      <c r="W39" s="98" t="n">
        <f aca="false">S39*(1-$W$8)</f>
        <v>700000</v>
      </c>
      <c r="X39" s="98" t="n">
        <f aca="false">S39*(1-$X$8)</f>
        <v>630000</v>
      </c>
      <c r="Y39" s="98" t="n">
        <f aca="false">S39*(1-$Y$8)</f>
        <v>595000</v>
      </c>
      <c r="Z39" s="98" t="n">
        <f aca="false">S39*(1-$Z$8)</f>
        <v>560000</v>
      </c>
      <c r="AA39" s="98" t="n">
        <f aca="false">Q39*(1-$AA$8)</f>
        <v>5600</v>
      </c>
      <c r="AB39" s="93" t="n">
        <f aca="false">(AA39-O39)/AA39</f>
        <v>0.701728571428571</v>
      </c>
      <c r="AC39" s="100" t="s">
        <v>130</v>
      </c>
      <c r="AD39" s="88" t="s">
        <v>131</v>
      </c>
      <c r="AE39" s="101" t="n">
        <v>300</v>
      </c>
      <c r="AF39" s="101" t="n">
        <v>150</v>
      </c>
      <c r="AG39" s="101" t="n">
        <v>50</v>
      </c>
      <c r="AH39" s="101" t="n">
        <v>100</v>
      </c>
      <c r="AI39" s="101" t="n">
        <v>200</v>
      </c>
    </row>
    <row r="40" customFormat="false" ht="21.75" hidden="false" customHeight="true" outlineLevel="0" collapsed="false">
      <c r="B40" s="104"/>
      <c r="C40" s="108" t="s">
        <v>138</v>
      </c>
      <c r="D40" s="83" t="s">
        <v>129</v>
      </c>
      <c r="E40" s="84" t="n">
        <v>997.05</v>
      </c>
      <c r="F40" s="84" t="n">
        <v>50</v>
      </c>
      <c r="G40" s="84" t="n">
        <f aca="false">E40*$G$8</f>
        <v>179.469</v>
      </c>
      <c r="H40" s="85" t="n">
        <f aca="false">SUM(E40:G40)</f>
        <v>1226.519</v>
      </c>
      <c r="I40" s="86" t="n">
        <f aca="false">H40*200</f>
        <v>245303.8</v>
      </c>
      <c r="J40" s="87" t="n">
        <v>3</v>
      </c>
      <c r="K40" s="88" t="n">
        <f aca="false">I40/1000*J40*(1+$K$8)</f>
        <v>809.50254</v>
      </c>
      <c r="L40" s="89" t="n">
        <v>3</v>
      </c>
      <c r="M40" s="88" t="n">
        <f aca="false">$L$8*L40</f>
        <v>240</v>
      </c>
      <c r="N40" s="88" t="n">
        <f aca="false">SUM(K40:M40)*0.1</f>
        <v>105.250254</v>
      </c>
      <c r="O40" s="90" t="n">
        <f aca="false">SUM(K40+M40+N40)</f>
        <v>1154.752794</v>
      </c>
      <c r="P40" s="91" t="n">
        <v>500</v>
      </c>
      <c r="Q40" s="92" t="n">
        <v>4500</v>
      </c>
      <c r="R40" s="93" t="n">
        <f aca="false">(Q40-O40)/Q40</f>
        <v>0.743388268</v>
      </c>
      <c r="S40" s="102" t="n">
        <f aca="false">Q40/J40*1000</f>
        <v>1500000</v>
      </c>
      <c r="T40" s="107"/>
      <c r="U40" s="121" t="n">
        <v>1000000</v>
      </c>
      <c r="V40" s="122"/>
      <c r="W40" s="98" t="n">
        <f aca="false">S40*(1-$W$8)</f>
        <v>1500000</v>
      </c>
      <c r="X40" s="98" t="n">
        <f aca="false">S40*(1-$X$8)</f>
        <v>1350000</v>
      </c>
      <c r="Y40" s="98" t="n">
        <f aca="false">S40*(1-$Y$8)</f>
        <v>1275000</v>
      </c>
      <c r="Z40" s="98" t="n">
        <f aca="false">S40*(1-$Z$8)</f>
        <v>1200000</v>
      </c>
      <c r="AA40" s="98" t="n">
        <f aca="false">Q40*(1-$AA$8)</f>
        <v>3600</v>
      </c>
      <c r="AB40" s="93" t="n">
        <f aca="false">(AA40-O40)/AA40</f>
        <v>0.679235335</v>
      </c>
      <c r="AC40" s="100" t="s">
        <v>130</v>
      </c>
      <c r="AD40" s="88" t="s">
        <v>131</v>
      </c>
      <c r="AE40" s="101" t="n">
        <v>300</v>
      </c>
      <c r="AF40" s="101" t="n">
        <v>150</v>
      </c>
      <c r="AG40" s="101" t="n">
        <v>50</v>
      </c>
      <c r="AH40" s="101" t="n">
        <v>100</v>
      </c>
      <c r="AI40" s="101" t="n">
        <v>200</v>
      </c>
    </row>
    <row r="41" customFormat="false" ht="21.75" hidden="false" customHeight="true" outlineLevel="0" collapsed="false">
      <c r="B41" s="104"/>
      <c r="C41" s="104"/>
      <c r="D41" s="104"/>
      <c r="E41" s="104"/>
      <c r="F41" s="104"/>
      <c r="G41" s="104"/>
      <c r="H41" s="104"/>
      <c r="I41" s="104"/>
      <c r="J41" s="87" t="n">
        <v>5</v>
      </c>
      <c r="K41" s="88" t="n">
        <f aca="false">I40/1000*J41*(1+$K$8)</f>
        <v>1349.1709</v>
      </c>
      <c r="L41" s="89" t="n">
        <v>3</v>
      </c>
      <c r="M41" s="88" t="n">
        <f aca="false">$L$8*L41</f>
        <v>240</v>
      </c>
      <c r="N41" s="88" t="n">
        <f aca="false">SUM(K41:M41)*0.1</f>
        <v>159.21709</v>
      </c>
      <c r="O41" s="90" t="n">
        <f aca="false">SUM(K41+M41+N41)</f>
        <v>1748.38799</v>
      </c>
      <c r="P41" s="91" t="n">
        <v>500</v>
      </c>
      <c r="Q41" s="92" t="n">
        <v>5500</v>
      </c>
      <c r="R41" s="93" t="n">
        <f aca="false">(Q41-O41)/Q41</f>
        <v>0.682111274545455</v>
      </c>
      <c r="S41" s="102" t="n">
        <f aca="false">Q41/J41*1000</f>
        <v>1100000</v>
      </c>
      <c r="T41" s="95"/>
      <c r="U41" s="121"/>
      <c r="V41" s="123"/>
      <c r="W41" s="98" t="n">
        <f aca="false">S41*(1-$W$8)</f>
        <v>1100000</v>
      </c>
      <c r="X41" s="98" t="n">
        <f aca="false">S41*(1-$X$8)</f>
        <v>990000</v>
      </c>
      <c r="Y41" s="98" t="n">
        <f aca="false">S41*(1-$Y$8)</f>
        <v>935000</v>
      </c>
      <c r="Z41" s="98" t="n">
        <f aca="false">S41*(1-$Z$8)</f>
        <v>880000</v>
      </c>
      <c r="AA41" s="98" t="n">
        <f aca="false">Q41*(1-$AA$8)</f>
        <v>4400</v>
      </c>
      <c r="AB41" s="93" t="n">
        <f aca="false">(AA41-O41)/AA41</f>
        <v>0.602639093181818</v>
      </c>
      <c r="AC41" s="100" t="s">
        <v>130</v>
      </c>
      <c r="AD41" s="88" t="s">
        <v>131</v>
      </c>
      <c r="AE41" s="101" t="n">
        <v>300</v>
      </c>
      <c r="AF41" s="101" t="n">
        <v>150</v>
      </c>
      <c r="AG41" s="101" t="n">
        <v>50</v>
      </c>
      <c r="AH41" s="101" t="n">
        <v>100</v>
      </c>
      <c r="AI41" s="101" t="n">
        <v>200</v>
      </c>
    </row>
    <row r="42" customFormat="false" ht="21.75" hidden="false" customHeight="true" outlineLevel="0" collapsed="false">
      <c r="B42" s="104"/>
      <c r="C42" s="108"/>
      <c r="D42" s="108"/>
      <c r="E42" s="108"/>
      <c r="F42" s="108"/>
      <c r="G42" s="108"/>
      <c r="H42" s="108"/>
      <c r="I42" s="108"/>
      <c r="J42" s="87" t="n">
        <v>10</v>
      </c>
      <c r="K42" s="88" t="n">
        <f aca="false">I40/1000*J42*(1+$K$8)</f>
        <v>2698.3418</v>
      </c>
      <c r="L42" s="89" t="n">
        <v>3</v>
      </c>
      <c r="M42" s="88" t="n">
        <f aca="false">$L$8*L42</f>
        <v>240</v>
      </c>
      <c r="N42" s="88" t="n">
        <f aca="false">SUM(K42:M42)*0.1</f>
        <v>294.13418</v>
      </c>
      <c r="O42" s="90" t="n">
        <f aca="false">SUM(K42+M42+N42)</f>
        <v>3232.47598</v>
      </c>
      <c r="P42" s="91" t="n">
        <v>500</v>
      </c>
      <c r="Q42" s="92" t="n">
        <v>8000</v>
      </c>
      <c r="R42" s="93" t="n">
        <f aca="false">(Q42-O42)/Q42</f>
        <v>0.5959405025</v>
      </c>
      <c r="S42" s="102" t="n">
        <f aca="false">Q42/J42*1000</f>
        <v>800000</v>
      </c>
      <c r="T42" s="105"/>
      <c r="U42" s="121"/>
      <c r="V42" s="124"/>
      <c r="W42" s="98" t="n">
        <f aca="false">S42*(1-$W$8)</f>
        <v>800000</v>
      </c>
      <c r="X42" s="98" t="n">
        <f aca="false">S42*(1-$X$8)</f>
        <v>720000</v>
      </c>
      <c r="Y42" s="98" t="n">
        <f aca="false">S42*(1-$Y$8)</f>
        <v>680000</v>
      </c>
      <c r="Z42" s="98" t="n">
        <f aca="false">S42*(1-$Z$8)</f>
        <v>640000</v>
      </c>
      <c r="AA42" s="98" t="n">
        <f aca="false">Q42*(1-$AA$8)</f>
        <v>6400</v>
      </c>
      <c r="AB42" s="93" t="n">
        <f aca="false">(AA42-O42)/AA42</f>
        <v>0.494925628125</v>
      </c>
      <c r="AC42" s="100" t="s">
        <v>130</v>
      </c>
      <c r="AD42" s="88" t="s">
        <v>131</v>
      </c>
      <c r="AE42" s="101" t="n">
        <v>300</v>
      </c>
      <c r="AF42" s="101" t="n">
        <v>150</v>
      </c>
      <c r="AG42" s="101" t="n">
        <v>50</v>
      </c>
      <c r="AH42" s="101" t="n">
        <v>100</v>
      </c>
      <c r="AI42" s="101" t="n">
        <v>200</v>
      </c>
    </row>
    <row r="43" customFormat="false" ht="21.75" hidden="false" customHeight="true" outlineLevel="0" collapsed="false">
      <c r="B43" s="104"/>
      <c r="C43" s="108" t="s">
        <v>139</v>
      </c>
      <c r="D43" s="83" t="s">
        <v>129</v>
      </c>
      <c r="E43" s="84" t="n">
        <v>256</v>
      </c>
      <c r="F43" s="84" t="n">
        <v>50</v>
      </c>
      <c r="G43" s="84" t="n">
        <f aca="false">E43*$G$8</f>
        <v>46.08</v>
      </c>
      <c r="H43" s="85" t="n">
        <f aca="false">SUM(E43:G43)</f>
        <v>352.08</v>
      </c>
      <c r="I43" s="86" t="n">
        <f aca="false">H43*200</f>
        <v>70416</v>
      </c>
      <c r="J43" s="87" t="n">
        <v>3</v>
      </c>
      <c r="K43" s="88" t="n">
        <f aca="false">I43/1000*J43*(1+$K$8)</f>
        <v>232.3728</v>
      </c>
      <c r="L43" s="89" t="n">
        <v>3</v>
      </c>
      <c r="M43" s="88" t="n">
        <f aca="false">$L$8*L43</f>
        <v>240</v>
      </c>
      <c r="N43" s="88" t="n">
        <f aca="false">SUM(K43:M43)*0.1</f>
        <v>47.53728</v>
      </c>
      <c r="O43" s="90" t="n">
        <f aca="false">SUM(K43+M43+N43)</f>
        <v>519.91008</v>
      </c>
      <c r="P43" s="91" t="n">
        <v>500</v>
      </c>
      <c r="Q43" s="92" t="n">
        <v>1600</v>
      </c>
      <c r="R43" s="93" t="n">
        <f aca="false">(Q43-O43)/Q43</f>
        <v>0.6750562</v>
      </c>
      <c r="S43" s="102" t="n">
        <f aca="false">Q43/J43*1000</f>
        <v>533333.333333333</v>
      </c>
      <c r="T43" s="107"/>
      <c r="U43" s="96" t="n">
        <v>300000</v>
      </c>
      <c r="V43" s="97"/>
      <c r="W43" s="98" t="n">
        <f aca="false">S43*(1-$W$8)</f>
        <v>533333.333333333</v>
      </c>
      <c r="X43" s="98" t="n">
        <f aca="false">S43*(1-$X$8)</f>
        <v>480000</v>
      </c>
      <c r="Y43" s="98" t="n">
        <f aca="false">S43*(1-$Y$8)</f>
        <v>453333.333333333</v>
      </c>
      <c r="Z43" s="98" t="n">
        <f aca="false">S43*(1-$Z$8)</f>
        <v>426666.666666667</v>
      </c>
      <c r="AA43" s="98" t="n">
        <f aca="false">Q43*(1-$AA$8)</f>
        <v>1280</v>
      </c>
      <c r="AB43" s="93" t="n">
        <f aca="false">(AA43-O43)/AA43</f>
        <v>0.59382025</v>
      </c>
      <c r="AC43" s="100" t="s">
        <v>130</v>
      </c>
      <c r="AD43" s="88" t="s">
        <v>131</v>
      </c>
      <c r="AE43" s="101" t="n">
        <v>300</v>
      </c>
      <c r="AF43" s="101" t="n">
        <v>150</v>
      </c>
      <c r="AG43" s="101" t="n">
        <v>50</v>
      </c>
      <c r="AH43" s="101" t="n">
        <v>100</v>
      </c>
      <c r="AI43" s="101" t="n">
        <v>200</v>
      </c>
    </row>
    <row r="44" customFormat="false" ht="21.75" hidden="false" customHeight="true" outlineLevel="0" collapsed="false">
      <c r="B44" s="104"/>
      <c r="C44" s="104"/>
      <c r="D44" s="104"/>
      <c r="E44" s="104"/>
      <c r="F44" s="104"/>
      <c r="G44" s="104"/>
      <c r="H44" s="104"/>
      <c r="I44" s="104"/>
      <c r="J44" s="87" t="n">
        <v>5</v>
      </c>
      <c r="K44" s="88" t="n">
        <f aca="false">I43/1000*J44*(1+$K$8)</f>
        <v>387.288</v>
      </c>
      <c r="L44" s="89" t="n">
        <v>3</v>
      </c>
      <c r="M44" s="88" t="n">
        <f aca="false">$L$8*L44</f>
        <v>240</v>
      </c>
      <c r="N44" s="88" t="n">
        <f aca="false">SUM(K44:M44)*0.1</f>
        <v>63.0288</v>
      </c>
      <c r="O44" s="90" t="n">
        <f aca="false">SUM(K44+M44+N44)</f>
        <v>690.3168</v>
      </c>
      <c r="P44" s="91" t="n">
        <v>500</v>
      </c>
      <c r="Q44" s="92" t="n">
        <v>2000</v>
      </c>
      <c r="R44" s="93" t="n">
        <f aca="false">(Q44-O44)/Q44</f>
        <v>0.6548416</v>
      </c>
      <c r="S44" s="102" t="n">
        <f aca="false">Q44/J44*1000</f>
        <v>400000</v>
      </c>
      <c r="T44" s="95"/>
      <c r="U44" s="96"/>
      <c r="V44" s="103"/>
      <c r="W44" s="98" t="n">
        <f aca="false">S44*(1-$W$8)</f>
        <v>400000</v>
      </c>
      <c r="X44" s="98" t="n">
        <f aca="false">S44*(1-$X$8)</f>
        <v>360000</v>
      </c>
      <c r="Y44" s="98" t="n">
        <f aca="false">S44*(1-$Y$8)</f>
        <v>340000</v>
      </c>
      <c r="Z44" s="98" t="n">
        <f aca="false">S44*(1-$Z$8)</f>
        <v>320000</v>
      </c>
      <c r="AA44" s="98" t="n">
        <f aca="false">Q44*(1-$AA$8)</f>
        <v>1600</v>
      </c>
      <c r="AB44" s="93" t="n">
        <f aca="false">(AA44-O44)/AA44</f>
        <v>0.568552</v>
      </c>
      <c r="AC44" s="100" t="s">
        <v>130</v>
      </c>
      <c r="AD44" s="88" t="s">
        <v>131</v>
      </c>
      <c r="AE44" s="101" t="n">
        <v>300</v>
      </c>
      <c r="AF44" s="101" t="n">
        <v>150</v>
      </c>
      <c r="AG44" s="101" t="n">
        <v>50</v>
      </c>
      <c r="AH44" s="101" t="n">
        <v>100</v>
      </c>
      <c r="AI44" s="101" t="n">
        <v>200</v>
      </c>
    </row>
    <row r="45" customFormat="false" ht="21.75" hidden="false" customHeight="true" outlineLevel="0" collapsed="false">
      <c r="B45" s="104"/>
      <c r="C45" s="108"/>
      <c r="D45" s="108"/>
      <c r="E45" s="108"/>
      <c r="F45" s="108"/>
      <c r="G45" s="108"/>
      <c r="H45" s="108"/>
      <c r="I45" s="108"/>
      <c r="J45" s="87" t="n">
        <v>10</v>
      </c>
      <c r="K45" s="88" t="n">
        <f aca="false">I43/1000*J45*(1+$K$8)</f>
        <v>774.576</v>
      </c>
      <c r="L45" s="89" t="n">
        <v>3</v>
      </c>
      <c r="M45" s="88" t="n">
        <f aca="false">$L$8*L45</f>
        <v>240</v>
      </c>
      <c r="N45" s="88" t="n">
        <f aca="false">SUM(K45:M45)*0.1</f>
        <v>101.7576</v>
      </c>
      <c r="O45" s="90" t="n">
        <f aca="false">SUM(K45+M45+N45)</f>
        <v>1116.3336</v>
      </c>
      <c r="P45" s="91" t="n">
        <v>500</v>
      </c>
      <c r="Q45" s="92" t="n">
        <v>3000</v>
      </c>
      <c r="R45" s="93" t="n">
        <f aca="false">(Q45-O45)/Q45</f>
        <v>0.6278888</v>
      </c>
      <c r="S45" s="102" t="n">
        <f aca="false">Q45/J45*1000</f>
        <v>300000</v>
      </c>
      <c r="T45" s="105"/>
      <c r="U45" s="96"/>
      <c r="V45" s="106"/>
      <c r="W45" s="98" t="n">
        <f aca="false">S45*(1-$W$8)</f>
        <v>300000</v>
      </c>
      <c r="X45" s="98" t="n">
        <f aca="false">S45*(1-$X$8)</f>
        <v>270000</v>
      </c>
      <c r="Y45" s="98" t="n">
        <f aca="false">S45*(1-$Y$8)</f>
        <v>255000</v>
      </c>
      <c r="Z45" s="98" t="n">
        <f aca="false">S45*(1-$Z$8)</f>
        <v>240000</v>
      </c>
      <c r="AA45" s="98" t="n">
        <f aca="false">Q45*(1-$AA$8)</f>
        <v>2400</v>
      </c>
      <c r="AB45" s="93" t="n">
        <f aca="false">(AA45-O45)/AA45</f>
        <v>0.534861</v>
      </c>
      <c r="AC45" s="100" t="s">
        <v>130</v>
      </c>
      <c r="AD45" s="88" t="s">
        <v>131</v>
      </c>
      <c r="AE45" s="101" t="n">
        <v>300</v>
      </c>
      <c r="AF45" s="101" t="n">
        <v>150</v>
      </c>
      <c r="AG45" s="101" t="n">
        <v>50</v>
      </c>
      <c r="AH45" s="101" t="n">
        <v>100</v>
      </c>
      <c r="AI45" s="101" t="n">
        <v>200</v>
      </c>
    </row>
    <row r="46" customFormat="false" ht="21.75" hidden="false" customHeight="true" outlineLevel="0" collapsed="false">
      <c r="B46" s="104"/>
      <c r="C46" s="108" t="s">
        <v>140</v>
      </c>
      <c r="D46" s="83" t="s">
        <v>129</v>
      </c>
      <c r="E46" s="84" t="n">
        <v>323.5</v>
      </c>
      <c r="F46" s="84" t="n">
        <v>50</v>
      </c>
      <c r="G46" s="84" t="n">
        <f aca="false">E46*$G$8</f>
        <v>58.23</v>
      </c>
      <c r="H46" s="85" t="n">
        <f aca="false">SUM(E46:G46)</f>
        <v>431.73</v>
      </c>
      <c r="I46" s="86" t="n">
        <f aca="false">H46*200</f>
        <v>86346</v>
      </c>
      <c r="J46" s="87" t="n">
        <v>3</v>
      </c>
      <c r="K46" s="88" t="n">
        <f aca="false">I46/1000*J46*(1+$K$8)</f>
        <v>284.9418</v>
      </c>
      <c r="L46" s="89" t="n">
        <v>3</v>
      </c>
      <c r="M46" s="88" t="n">
        <f aca="false">$L$8*L46</f>
        <v>240</v>
      </c>
      <c r="N46" s="88" t="n">
        <f aca="false">SUM(K46:M46)*0.1</f>
        <v>52.79418</v>
      </c>
      <c r="O46" s="90" t="n">
        <f aca="false">SUM(K46+M46+N46)</f>
        <v>577.73598</v>
      </c>
      <c r="P46" s="91" t="n">
        <v>500</v>
      </c>
      <c r="Q46" s="92" t="n">
        <v>1400</v>
      </c>
      <c r="R46" s="93" t="n">
        <f aca="false">(Q46-O46)/Q46</f>
        <v>0.587331442857143</v>
      </c>
      <c r="S46" s="102" t="n">
        <f aca="false">Q46/J46*1000</f>
        <v>466666.666666667</v>
      </c>
      <c r="T46" s="107"/>
      <c r="U46" s="96" t="n">
        <v>280000</v>
      </c>
      <c r="V46" s="97"/>
      <c r="W46" s="98" t="n">
        <f aca="false">S46*(1-$W$8)</f>
        <v>466666.666666667</v>
      </c>
      <c r="X46" s="98" t="n">
        <f aca="false">S46*(1-$X$8)</f>
        <v>420000</v>
      </c>
      <c r="Y46" s="98" t="n">
        <f aca="false">S46*(1-$Y$8)</f>
        <v>396666.666666667</v>
      </c>
      <c r="Z46" s="98" t="n">
        <f aca="false">S46*(1-$Z$8)</f>
        <v>373333.333333333</v>
      </c>
      <c r="AA46" s="98" t="n">
        <f aca="false">Q46*(1-$AA$8)</f>
        <v>1120</v>
      </c>
      <c r="AB46" s="93" t="n">
        <f aca="false">(AA46-O46)/AA46</f>
        <v>0.484164303571429</v>
      </c>
      <c r="AC46" s="100" t="s">
        <v>130</v>
      </c>
      <c r="AD46" s="88" t="s">
        <v>131</v>
      </c>
      <c r="AE46" s="101" t="n">
        <v>300</v>
      </c>
      <c r="AF46" s="101" t="n">
        <v>150</v>
      </c>
      <c r="AG46" s="101" t="n">
        <v>50</v>
      </c>
      <c r="AH46" s="101" t="n">
        <v>100</v>
      </c>
      <c r="AI46" s="101" t="n">
        <v>200</v>
      </c>
    </row>
    <row r="47" customFormat="false" ht="21.75" hidden="false" customHeight="true" outlineLevel="0" collapsed="false">
      <c r="B47" s="104"/>
      <c r="C47" s="104"/>
      <c r="D47" s="104"/>
      <c r="E47" s="104"/>
      <c r="F47" s="104"/>
      <c r="G47" s="104"/>
      <c r="H47" s="104"/>
      <c r="I47" s="104"/>
      <c r="J47" s="87" t="n">
        <v>5</v>
      </c>
      <c r="K47" s="88" t="n">
        <f aca="false">I46/1000*J47*(1+$K$8)</f>
        <v>474.903</v>
      </c>
      <c r="L47" s="89" t="n">
        <v>3</v>
      </c>
      <c r="M47" s="88" t="n">
        <f aca="false">$L$8*L47</f>
        <v>240</v>
      </c>
      <c r="N47" s="88" t="n">
        <f aca="false">SUM(K47:M47)*0.1</f>
        <v>71.7903</v>
      </c>
      <c r="O47" s="90" t="n">
        <f aca="false">SUM(K47+M47+N47)</f>
        <v>786.6933</v>
      </c>
      <c r="P47" s="91" t="n">
        <v>500</v>
      </c>
      <c r="Q47" s="92" t="n">
        <v>1800</v>
      </c>
      <c r="R47" s="93" t="n">
        <f aca="false">(Q47-O47)/Q47</f>
        <v>0.562948166666667</v>
      </c>
      <c r="S47" s="102" t="n">
        <f aca="false">Q47/J47*1000</f>
        <v>360000</v>
      </c>
      <c r="T47" s="95"/>
      <c r="U47" s="96"/>
      <c r="V47" s="103"/>
      <c r="W47" s="98" t="n">
        <f aca="false">S47*(1-$W$8)</f>
        <v>360000</v>
      </c>
      <c r="X47" s="98" t="n">
        <f aca="false">S47*(1-$X$8)</f>
        <v>324000</v>
      </c>
      <c r="Y47" s="98" t="n">
        <f aca="false">S47*(1-$Y$8)</f>
        <v>306000</v>
      </c>
      <c r="Z47" s="98" t="n">
        <f aca="false">S47*(1-$Z$8)</f>
        <v>288000</v>
      </c>
      <c r="AA47" s="98" t="n">
        <f aca="false">Q47*(1-$AA$8)</f>
        <v>1440</v>
      </c>
      <c r="AB47" s="93" t="n">
        <f aca="false">(AA47-O47)/AA47</f>
        <v>0.453685208333333</v>
      </c>
      <c r="AC47" s="100" t="s">
        <v>130</v>
      </c>
      <c r="AD47" s="88" t="s">
        <v>131</v>
      </c>
      <c r="AE47" s="101" t="n">
        <v>300</v>
      </c>
      <c r="AF47" s="101" t="n">
        <v>150</v>
      </c>
      <c r="AG47" s="101" t="n">
        <v>50</v>
      </c>
      <c r="AH47" s="101" t="n">
        <v>100</v>
      </c>
      <c r="AI47" s="101" t="n">
        <v>200</v>
      </c>
    </row>
    <row r="48" customFormat="false" ht="21.75" hidden="false" customHeight="true" outlineLevel="0" collapsed="false">
      <c r="B48" s="104"/>
      <c r="C48" s="108"/>
      <c r="D48" s="108"/>
      <c r="E48" s="108"/>
      <c r="F48" s="108"/>
      <c r="G48" s="108"/>
      <c r="H48" s="108"/>
      <c r="I48" s="108"/>
      <c r="J48" s="87" t="n">
        <v>10</v>
      </c>
      <c r="K48" s="88" t="n">
        <f aca="false">I46/1000*J48*(1+$K$8)</f>
        <v>949.806</v>
      </c>
      <c r="L48" s="89" t="n">
        <v>3</v>
      </c>
      <c r="M48" s="88" t="n">
        <f aca="false">$L$8*L48</f>
        <v>240</v>
      </c>
      <c r="N48" s="88" t="n">
        <f aca="false">SUM(K48:M48)*0.1</f>
        <v>119.2806</v>
      </c>
      <c r="O48" s="90" t="n">
        <f aca="false">SUM(K48+M48+N48)</f>
        <v>1309.0866</v>
      </c>
      <c r="P48" s="91" t="n">
        <v>500</v>
      </c>
      <c r="Q48" s="92" t="n">
        <v>2800</v>
      </c>
      <c r="R48" s="93" t="n">
        <f aca="false">(Q48-O48)/Q48</f>
        <v>0.532469071428571</v>
      </c>
      <c r="S48" s="102" t="n">
        <f aca="false">Q48/J48*1000</f>
        <v>280000</v>
      </c>
      <c r="T48" s="105"/>
      <c r="U48" s="96"/>
      <c r="V48" s="106"/>
      <c r="W48" s="98" t="n">
        <f aca="false">S48*(1-$W$8)</f>
        <v>280000</v>
      </c>
      <c r="X48" s="98" t="n">
        <f aca="false">S48*(1-$X$8)</f>
        <v>252000</v>
      </c>
      <c r="Y48" s="98" t="n">
        <f aca="false">S48*(1-$Y$8)</f>
        <v>238000</v>
      </c>
      <c r="Z48" s="98" t="n">
        <f aca="false">S48*(1-$Z$8)</f>
        <v>224000</v>
      </c>
      <c r="AA48" s="98" t="n">
        <f aca="false">Q48*(1-$AA$8)</f>
        <v>2240</v>
      </c>
      <c r="AB48" s="93" t="n">
        <f aca="false">(AA48-O48)/AA48</f>
        <v>0.415586339285714</v>
      </c>
      <c r="AC48" s="100" t="s">
        <v>130</v>
      </c>
      <c r="AD48" s="88" t="s">
        <v>131</v>
      </c>
      <c r="AE48" s="101" t="n">
        <v>300</v>
      </c>
      <c r="AF48" s="101" t="n">
        <v>150</v>
      </c>
      <c r="AG48" s="101" t="n">
        <v>50</v>
      </c>
      <c r="AH48" s="101" t="n">
        <v>100</v>
      </c>
      <c r="AI48" s="101" t="n">
        <v>200</v>
      </c>
    </row>
    <row r="49" customFormat="false" ht="21.75" hidden="false" customHeight="true" outlineLevel="0" collapsed="false">
      <c r="B49" s="104"/>
      <c r="C49" s="108" t="s">
        <v>141</v>
      </c>
      <c r="D49" s="83" t="s">
        <v>129</v>
      </c>
      <c r="E49" s="84" t="n">
        <v>220</v>
      </c>
      <c r="F49" s="84" t="n">
        <v>50</v>
      </c>
      <c r="G49" s="84" t="n">
        <f aca="false">E49*$G$8</f>
        <v>39.6</v>
      </c>
      <c r="H49" s="85" t="n">
        <f aca="false">SUM(E49:G49)</f>
        <v>309.6</v>
      </c>
      <c r="I49" s="86" t="n">
        <f aca="false">H49*200</f>
        <v>61920</v>
      </c>
      <c r="J49" s="87" t="n">
        <v>3</v>
      </c>
      <c r="K49" s="88" t="n">
        <f aca="false">I49/1000*J49*(1+$K$8)</f>
        <v>204.336</v>
      </c>
      <c r="L49" s="89" t="n">
        <v>3</v>
      </c>
      <c r="M49" s="88" t="n">
        <f aca="false">$L$8*L49</f>
        <v>240</v>
      </c>
      <c r="N49" s="88" t="n">
        <f aca="false">SUM(K49:M49)*0.1</f>
        <v>44.7336</v>
      </c>
      <c r="O49" s="90" t="n">
        <f aca="false">SUM(K49+M49+N49)</f>
        <v>489.0696</v>
      </c>
      <c r="P49" s="91" t="n">
        <v>500</v>
      </c>
      <c r="Q49" s="92" t="n">
        <v>1200</v>
      </c>
      <c r="R49" s="93" t="n">
        <f aca="false">(Q49-O49)/Q49</f>
        <v>0.592442</v>
      </c>
      <c r="S49" s="102" t="n">
        <f aca="false">Q49/J49*1000</f>
        <v>400000</v>
      </c>
      <c r="T49" s="107"/>
      <c r="U49" s="96" t="n">
        <v>240000</v>
      </c>
      <c r="V49" s="97"/>
      <c r="W49" s="98" t="n">
        <f aca="false">S49*(1-$W$8)</f>
        <v>400000</v>
      </c>
      <c r="X49" s="98" t="n">
        <f aca="false">S49*(1-$X$8)</f>
        <v>360000</v>
      </c>
      <c r="Y49" s="98" t="n">
        <f aca="false">S49*(1-$Y$8)</f>
        <v>340000</v>
      </c>
      <c r="Z49" s="98" t="n">
        <f aca="false">S49*(1-$Z$8)</f>
        <v>320000</v>
      </c>
      <c r="AA49" s="98" t="n">
        <f aca="false">Q49*(1-$AA$8)</f>
        <v>960</v>
      </c>
      <c r="AB49" s="93" t="n">
        <f aca="false">(AA49-O49)/AA49</f>
        <v>0.4905525</v>
      </c>
      <c r="AC49" s="100" t="s">
        <v>130</v>
      </c>
      <c r="AD49" s="88" t="s">
        <v>131</v>
      </c>
      <c r="AE49" s="101" t="n">
        <v>300</v>
      </c>
      <c r="AF49" s="101" t="n">
        <v>150</v>
      </c>
      <c r="AG49" s="101" t="n">
        <v>50</v>
      </c>
      <c r="AH49" s="101" t="n">
        <v>100</v>
      </c>
      <c r="AI49" s="101" t="n">
        <v>200</v>
      </c>
    </row>
    <row r="50" customFormat="false" ht="21.75" hidden="false" customHeight="true" outlineLevel="0" collapsed="false">
      <c r="B50" s="104"/>
      <c r="C50" s="104"/>
      <c r="D50" s="104"/>
      <c r="E50" s="104"/>
      <c r="F50" s="104"/>
      <c r="G50" s="104"/>
      <c r="H50" s="104"/>
      <c r="I50" s="104"/>
      <c r="J50" s="87" t="n">
        <v>5</v>
      </c>
      <c r="K50" s="88" t="n">
        <f aca="false">I49/1000*J50*(1+$K$8)</f>
        <v>340.56</v>
      </c>
      <c r="L50" s="89" t="n">
        <v>3</v>
      </c>
      <c r="M50" s="88" t="n">
        <f aca="false">$L$8*L50</f>
        <v>240</v>
      </c>
      <c r="N50" s="88" t="n">
        <f aca="false">SUM(K50:M50)*0.1</f>
        <v>58.356</v>
      </c>
      <c r="O50" s="90" t="n">
        <f aca="false">SUM(K50+M50+N50)</f>
        <v>638.916</v>
      </c>
      <c r="P50" s="91" t="n">
        <v>500</v>
      </c>
      <c r="Q50" s="92" t="n">
        <v>1600</v>
      </c>
      <c r="R50" s="93" t="n">
        <f aca="false">(Q50-O50)/Q50</f>
        <v>0.6006775</v>
      </c>
      <c r="S50" s="102" t="n">
        <f aca="false">Q50/J50*1000</f>
        <v>320000</v>
      </c>
      <c r="T50" s="95"/>
      <c r="U50" s="96"/>
      <c r="V50" s="103"/>
      <c r="W50" s="98" t="n">
        <f aca="false">S50*(1-$W$8)</f>
        <v>320000</v>
      </c>
      <c r="X50" s="98" t="n">
        <f aca="false">S50*(1-$X$8)</f>
        <v>288000</v>
      </c>
      <c r="Y50" s="98" t="n">
        <f aca="false">S50*(1-$Y$8)</f>
        <v>272000</v>
      </c>
      <c r="Z50" s="98" t="n">
        <f aca="false">S50*(1-$Z$8)</f>
        <v>256000</v>
      </c>
      <c r="AA50" s="98" t="n">
        <f aca="false">Q50*(1-$AA$8)</f>
        <v>1280</v>
      </c>
      <c r="AB50" s="93" t="n">
        <f aca="false">(AA50-O50)/AA50</f>
        <v>0.500846875</v>
      </c>
      <c r="AC50" s="100" t="s">
        <v>130</v>
      </c>
      <c r="AD50" s="88" t="s">
        <v>131</v>
      </c>
      <c r="AE50" s="101" t="n">
        <v>300</v>
      </c>
      <c r="AF50" s="101" t="n">
        <v>150</v>
      </c>
      <c r="AG50" s="101" t="n">
        <v>50</v>
      </c>
      <c r="AH50" s="101" t="n">
        <v>100</v>
      </c>
      <c r="AI50" s="101" t="n">
        <v>200</v>
      </c>
    </row>
    <row r="51" customFormat="false" ht="21.75" hidden="false" customHeight="true" outlineLevel="0" collapsed="false">
      <c r="B51" s="104"/>
      <c r="C51" s="108"/>
      <c r="D51" s="108"/>
      <c r="E51" s="108"/>
      <c r="F51" s="108"/>
      <c r="G51" s="108"/>
      <c r="H51" s="108"/>
      <c r="I51" s="108"/>
      <c r="J51" s="87" t="n">
        <v>10</v>
      </c>
      <c r="K51" s="88" t="n">
        <f aca="false">I49/1000*J51*(1+$K$8)</f>
        <v>681.12</v>
      </c>
      <c r="L51" s="89" t="n">
        <v>3</v>
      </c>
      <c r="M51" s="88" t="n">
        <f aca="false">$L$8*L51</f>
        <v>240</v>
      </c>
      <c r="N51" s="88" t="n">
        <f aca="false">SUM(K51:M51)*0.1</f>
        <v>92.412</v>
      </c>
      <c r="O51" s="90" t="n">
        <f aca="false">SUM(K51+M51+N51)</f>
        <v>1013.532</v>
      </c>
      <c r="P51" s="91" t="n">
        <v>500</v>
      </c>
      <c r="Q51" s="92" t="n">
        <v>2600</v>
      </c>
      <c r="R51" s="93" t="n">
        <f aca="false">(Q51-O51)/Q51</f>
        <v>0.61018</v>
      </c>
      <c r="S51" s="102" t="n">
        <f aca="false">Q51/J51*1000</f>
        <v>260000</v>
      </c>
      <c r="T51" s="105"/>
      <c r="U51" s="96"/>
      <c r="V51" s="106"/>
      <c r="W51" s="98" t="n">
        <f aca="false">S51*(1-$W$8)</f>
        <v>260000</v>
      </c>
      <c r="X51" s="98" t="n">
        <f aca="false">S51*(1-$X$8)</f>
        <v>234000</v>
      </c>
      <c r="Y51" s="98" t="n">
        <f aca="false">S51*(1-$Y$8)</f>
        <v>221000</v>
      </c>
      <c r="Z51" s="98" t="n">
        <f aca="false">S51*(1-$Z$8)</f>
        <v>208000</v>
      </c>
      <c r="AA51" s="98" t="n">
        <f aca="false">Q51*(1-$AA$8)</f>
        <v>2080</v>
      </c>
      <c r="AB51" s="93" t="n">
        <f aca="false">(AA51-O51)/AA51</f>
        <v>0.512725</v>
      </c>
      <c r="AC51" s="100" t="s">
        <v>130</v>
      </c>
      <c r="AD51" s="88" t="s">
        <v>131</v>
      </c>
      <c r="AE51" s="101" t="n">
        <v>300</v>
      </c>
      <c r="AF51" s="101" t="n">
        <v>150</v>
      </c>
      <c r="AG51" s="101" t="n">
        <v>50</v>
      </c>
      <c r="AH51" s="101" t="n">
        <v>100</v>
      </c>
      <c r="AI51" s="101" t="n">
        <v>200</v>
      </c>
    </row>
    <row r="52" customFormat="false" ht="21.75" hidden="false" customHeight="true" outlineLevel="0" collapsed="false">
      <c r="B52" s="104"/>
      <c r="C52" s="108" t="s">
        <v>142</v>
      </c>
      <c r="D52" s="83" t="s">
        <v>129</v>
      </c>
      <c r="E52" s="84" t="n">
        <v>176.5</v>
      </c>
      <c r="F52" s="84" t="n">
        <v>50</v>
      </c>
      <c r="G52" s="84" t="n">
        <f aca="false">E52*$G$8</f>
        <v>31.77</v>
      </c>
      <c r="H52" s="85" t="n">
        <f aca="false">SUM(E52:G52)</f>
        <v>258.27</v>
      </c>
      <c r="I52" s="86" t="n">
        <f aca="false">H52*200</f>
        <v>51654</v>
      </c>
      <c r="J52" s="87" t="n">
        <v>3</v>
      </c>
      <c r="K52" s="88" t="n">
        <f aca="false">I52/1000*J52*(1+$K$8)</f>
        <v>170.4582</v>
      </c>
      <c r="L52" s="89" t="n">
        <v>3</v>
      </c>
      <c r="M52" s="88" t="n">
        <f aca="false">$L$8*L52</f>
        <v>240</v>
      </c>
      <c r="N52" s="88" t="n">
        <f aca="false">SUM(K52:M52)*0.1</f>
        <v>41.34582</v>
      </c>
      <c r="O52" s="90" t="n">
        <f aca="false">SUM(K52+M52+N52)</f>
        <v>451.80402</v>
      </c>
      <c r="P52" s="91" t="n">
        <v>500</v>
      </c>
      <c r="Q52" s="92" t="n">
        <v>1100</v>
      </c>
      <c r="R52" s="93" t="n">
        <f aca="false">(Q52-O52)/Q52</f>
        <v>0.589269072727273</v>
      </c>
      <c r="S52" s="102" t="n">
        <f aca="false">Q52/J52*1000</f>
        <v>366666.666666667</v>
      </c>
      <c r="T52" s="107"/>
      <c r="U52" s="96" t="n">
        <v>120000</v>
      </c>
      <c r="V52" s="97"/>
      <c r="W52" s="98" t="n">
        <f aca="false">S52*(1-$W$8)</f>
        <v>366666.666666667</v>
      </c>
      <c r="X52" s="98" t="n">
        <f aca="false">S52*(1-$X$8)</f>
        <v>330000</v>
      </c>
      <c r="Y52" s="98" t="n">
        <f aca="false">S52*(1-$Y$8)</f>
        <v>311666.666666667</v>
      </c>
      <c r="Z52" s="98" t="n">
        <f aca="false">S52*(1-$Z$8)</f>
        <v>293333.333333333</v>
      </c>
      <c r="AA52" s="98" t="n">
        <f aca="false">Q52*(1-$AA$8)</f>
        <v>880</v>
      </c>
      <c r="AB52" s="93" t="n">
        <f aca="false">(AA52-O52)/AA52</f>
        <v>0.486586340909091</v>
      </c>
      <c r="AC52" s="100" t="s">
        <v>130</v>
      </c>
      <c r="AD52" s="88" t="s">
        <v>131</v>
      </c>
      <c r="AE52" s="101" t="n">
        <v>300</v>
      </c>
      <c r="AF52" s="101" t="n">
        <v>150</v>
      </c>
      <c r="AG52" s="101" t="n">
        <v>50</v>
      </c>
      <c r="AH52" s="101" t="n">
        <v>100</v>
      </c>
      <c r="AI52" s="101" t="n">
        <v>200</v>
      </c>
    </row>
    <row r="53" customFormat="false" ht="21.75" hidden="false" customHeight="true" outlineLevel="0" collapsed="false">
      <c r="B53" s="104"/>
      <c r="C53" s="104"/>
      <c r="D53" s="104"/>
      <c r="E53" s="104"/>
      <c r="F53" s="104"/>
      <c r="G53" s="104"/>
      <c r="H53" s="104"/>
      <c r="I53" s="104"/>
      <c r="J53" s="87" t="n">
        <v>5</v>
      </c>
      <c r="K53" s="88" t="n">
        <f aca="false">I52/1000*J53*(1+$K$8)</f>
        <v>284.097</v>
      </c>
      <c r="L53" s="89" t="n">
        <v>3</v>
      </c>
      <c r="M53" s="88" t="n">
        <f aca="false">$L$8*L53</f>
        <v>240</v>
      </c>
      <c r="N53" s="88" t="n">
        <f aca="false">SUM(K53:M53)*0.1</f>
        <v>52.7097</v>
      </c>
      <c r="O53" s="90" t="n">
        <f aca="false">SUM(K53+M53+N53)</f>
        <v>576.8067</v>
      </c>
      <c r="P53" s="91" t="n">
        <v>500</v>
      </c>
      <c r="Q53" s="92" t="n">
        <v>1400</v>
      </c>
      <c r="R53" s="93" t="n">
        <f aca="false">(Q53-O53)/Q53</f>
        <v>0.587995214285714</v>
      </c>
      <c r="S53" s="102" t="n">
        <f aca="false">Q53/J53*1000</f>
        <v>280000</v>
      </c>
      <c r="T53" s="95"/>
      <c r="U53" s="96"/>
      <c r="V53" s="103"/>
      <c r="W53" s="98" t="n">
        <f aca="false">S53*(1-$W$8)</f>
        <v>280000</v>
      </c>
      <c r="X53" s="98" t="n">
        <f aca="false">S53*(1-$X$8)</f>
        <v>252000</v>
      </c>
      <c r="Y53" s="98" t="n">
        <f aca="false">S53*(1-$Y$8)</f>
        <v>238000</v>
      </c>
      <c r="Z53" s="98" t="n">
        <f aca="false">S53*(1-$Z$8)</f>
        <v>224000</v>
      </c>
      <c r="AA53" s="98" t="n">
        <f aca="false">Q53*(1-$AA$8)</f>
        <v>1120</v>
      </c>
      <c r="AB53" s="93" t="n">
        <f aca="false">(AA53-O53)/AA53</f>
        <v>0.484994017857143</v>
      </c>
      <c r="AC53" s="100" t="s">
        <v>130</v>
      </c>
      <c r="AD53" s="88" t="s">
        <v>131</v>
      </c>
      <c r="AE53" s="101" t="n">
        <v>300</v>
      </c>
      <c r="AF53" s="101" t="n">
        <v>150</v>
      </c>
      <c r="AG53" s="101" t="n">
        <v>50</v>
      </c>
      <c r="AH53" s="101" t="n">
        <v>100</v>
      </c>
      <c r="AI53" s="101" t="n">
        <v>200</v>
      </c>
    </row>
    <row r="54" customFormat="false" ht="21.75" hidden="false" customHeight="true" outlineLevel="0" collapsed="false">
      <c r="B54" s="104"/>
      <c r="C54" s="108"/>
      <c r="D54" s="108"/>
      <c r="E54" s="108"/>
      <c r="F54" s="108"/>
      <c r="G54" s="108"/>
      <c r="H54" s="108"/>
      <c r="I54" s="108"/>
      <c r="J54" s="87" t="n">
        <v>10</v>
      </c>
      <c r="K54" s="88" t="n">
        <f aca="false">I52/1000*J54*(1+$K$8)</f>
        <v>568.194</v>
      </c>
      <c r="L54" s="89" t="n">
        <v>3</v>
      </c>
      <c r="M54" s="88" t="n">
        <f aca="false">$L$8*L54</f>
        <v>240</v>
      </c>
      <c r="N54" s="88" t="n">
        <f aca="false">SUM(K54:M54)*0.1</f>
        <v>81.1194</v>
      </c>
      <c r="O54" s="90" t="n">
        <f aca="false">SUM(K54+M54+N54)</f>
        <v>889.3134</v>
      </c>
      <c r="P54" s="91" t="n">
        <v>500</v>
      </c>
      <c r="Q54" s="92" t="n">
        <v>2400</v>
      </c>
      <c r="R54" s="93" t="n">
        <f aca="false">(Q54-O54)/Q54</f>
        <v>0.62945275</v>
      </c>
      <c r="S54" s="102" t="n">
        <f aca="false">Q54/J54*1000</f>
        <v>240000</v>
      </c>
      <c r="T54" s="105"/>
      <c r="U54" s="96"/>
      <c r="V54" s="106"/>
      <c r="W54" s="98" t="n">
        <f aca="false">S54*(1-$W$8)</f>
        <v>240000</v>
      </c>
      <c r="X54" s="98" t="n">
        <f aca="false">S54*(1-$X$8)</f>
        <v>216000</v>
      </c>
      <c r="Y54" s="98" t="n">
        <f aca="false">S54*(1-$Y$8)</f>
        <v>204000</v>
      </c>
      <c r="Z54" s="98" t="n">
        <f aca="false">S54*(1-$Z$8)</f>
        <v>192000</v>
      </c>
      <c r="AA54" s="98" t="n">
        <f aca="false">Q54*(1-$AA$8)</f>
        <v>1920</v>
      </c>
      <c r="AB54" s="93" t="n">
        <f aca="false">(AA54-O54)/AA54</f>
        <v>0.5368159375</v>
      </c>
      <c r="AC54" s="100" t="s">
        <v>130</v>
      </c>
      <c r="AD54" s="88" t="s">
        <v>131</v>
      </c>
      <c r="AE54" s="101" t="n">
        <v>300</v>
      </c>
      <c r="AF54" s="101" t="n">
        <v>150</v>
      </c>
      <c r="AG54" s="101" t="n">
        <v>50</v>
      </c>
      <c r="AH54" s="101" t="n">
        <v>100</v>
      </c>
      <c r="AI54" s="101" t="n">
        <v>200</v>
      </c>
    </row>
    <row r="55" customFormat="false" ht="21.75" hidden="false" customHeight="true" outlineLevel="0" collapsed="false">
      <c r="B55" s="104"/>
      <c r="C55" s="108" t="s">
        <v>143</v>
      </c>
      <c r="D55" s="83" t="s">
        <v>129</v>
      </c>
      <c r="E55" s="84" t="n">
        <v>400</v>
      </c>
      <c r="F55" s="84" t="n">
        <v>50</v>
      </c>
      <c r="G55" s="84" t="n">
        <f aca="false">E55*$G$8</f>
        <v>72</v>
      </c>
      <c r="H55" s="85" t="n">
        <f aca="false">SUM(E55:G55)</f>
        <v>522</v>
      </c>
      <c r="I55" s="86" t="n">
        <f aca="false">H55*200</f>
        <v>104400</v>
      </c>
      <c r="J55" s="87" t="n">
        <v>3</v>
      </c>
      <c r="K55" s="88" t="n">
        <f aca="false">I55/1000*J55*(1+$K$8)</f>
        <v>344.52</v>
      </c>
      <c r="L55" s="89" t="n">
        <v>3</v>
      </c>
      <c r="M55" s="88" t="n">
        <f aca="false">$L$8*L55</f>
        <v>240</v>
      </c>
      <c r="N55" s="88" t="n">
        <f aca="false">SUM(K55:M55)*0.1</f>
        <v>58.752</v>
      </c>
      <c r="O55" s="90" t="n">
        <f aca="false">SUM(K55+M55+N55)</f>
        <v>643.272</v>
      </c>
      <c r="P55" s="91" t="n">
        <v>500</v>
      </c>
      <c r="Q55" s="92" t="n">
        <v>1800</v>
      </c>
      <c r="R55" s="93" t="n">
        <f aca="false">(Q55-O55)/Q55</f>
        <v>0.642626666666667</v>
      </c>
      <c r="S55" s="102" t="n">
        <f aca="false">Q55/J55*1000</f>
        <v>600000</v>
      </c>
      <c r="T55" s="107"/>
      <c r="U55" s="96" t="n">
        <v>400000</v>
      </c>
      <c r="V55" s="97"/>
      <c r="W55" s="98" t="n">
        <f aca="false">S55*(1-$W$8)</f>
        <v>600000</v>
      </c>
      <c r="X55" s="98" t="n">
        <f aca="false">S55*(1-$X$8)</f>
        <v>540000</v>
      </c>
      <c r="Y55" s="98" t="n">
        <f aca="false">S55*(1-$Y$8)</f>
        <v>510000</v>
      </c>
      <c r="Z55" s="98" t="n">
        <f aca="false">S55*(1-$Z$8)</f>
        <v>480000</v>
      </c>
      <c r="AA55" s="98" t="n">
        <f aca="false">Q55*(1-$AA$8)</f>
        <v>1440</v>
      </c>
      <c r="AB55" s="93" t="n">
        <f aca="false">(AA55-O55)/AA55</f>
        <v>0.553283333333333</v>
      </c>
      <c r="AC55" s="100" t="s">
        <v>130</v>
      </c>
      <c r="AD55" s="88" t="s">
        <v>131</v>
      </c>
      <c r="AE55" s="101" t="n">
        <v>300</v>
      </c>
      <c r="AF55" s="101" t="n">
        <v>150</v>
      </c>
      <c r="AG55" s="101" t="n">
        <v>50</v>
      </c>
      <c r="AH55" s="101" t="n">
        <v>100</v>
      </c>
      <c r="AI55" s="101" t="n">
        <v>200</v>
      </c>
    </row>
    <row r="56" customFormat="false" ht="21.75" hidden="false" customHeight="true" outlineLevel="0" collapsed="false">
      <c r="B56" s="104"/>
      <c r="C56" s="104"/>
      <c r="D56" s="104"/>
      <c r="E56" s="104"/>
      <c r="F56" s="104"/>
      <c r="G56" s="104"/>
      <c r="H56" s="104"/>
      <c r="I56" s="104"/>
      <c r="J56" s="87" t="n">
        <v>5</v>
      </c>
      <c r="K56" s="88" t="n">
        <f aca="false">I55/1000*J56*(1+$K$8)</f>
        <v>574.2</v>
      </c>
      <c r="L56" s="89" t="n">
        <v>3</v>
      </c>
      <c r="M56" s="88" t="n">
        <f aca="false">$L$8*L56</f>
        <v>240</v>
      </c>
      <c r="N56" s="88" t="n">
        <f aca="false">SUM(K56:M56)*0.1</f>
        <v>81.72</v>
      </c>
      <c r="O56" s="90" t="n">
        <f aca="false">SUM(K56+M56+N56)</f>
        <v>895.92</v>
      </c>
      <c r="P56" s="91" t="n">
        <v>500</v>
      </c>
      <c r="Q56" s="92" t="n">
        <v>2300</v>
      </c>
      <c r="R56" s="93" t="n">
        <f aca="false">(Q56-O56)/Q56</f>
        <v>0.610469565217391</v>
      </c>
      <c r="S56" s="102" t="n">
        <f aca="false">Q56/J56*1000</f>
        <v>460000</v>
      </c>
      <c r="T56" s="95"/>
      <c r="U56" s="96"/>
      <c r="V56" s="103"/>
      <c r="W56" s="98" t="n">
        <f aca="false">S56*(1-$W$8)</f>
        <v>460000</v>
      </c>
      <c r="X56" s="98" t="n">
        <f aca="false">S56*(1-$X$8)</f>
        <v>414000</v>
      </c>
      <c r="Y56" s="98" t="n">
        <f aca="false">S56*(1-$Y$8)</f>
        <v>391000</v>
      </c>
      <c r="Z56" s="98" t="n">
        <f aca="false">S56*(1-$Z$8)</f>
        <v>368000</v>
      </c>
      <c r="AA56" s="98" t="n">
        <f aca="false">Q56*(1-$AA$8)</f>
        <v>1840</v>
      </c>
      <c r="AB56" s="93" t="n">
        <f aca="false">(AA56-O56)/AA56</f>
        <v>0.513086956521739</v>
      </c>
      <c r="AC56" s="100" t="s">
        <v>130</v>
      </c>
      <c r="AD56" s="88" t="s">
        <v>131</v>
      </c>
      <c r="AE56" s="101" t="n">
        <v>300</v>
      </c>
      <c r="AF56" s="101" t="n">
        <v>150</v>
      </c>
      <c r="AG56" s="101" t="n">
        <v>50</v>
      </c>
      <c r="AH56" s="101" t="n">
        <v>100</v>
      </c>
      <c r="AI56" s="101" t="n">
        <v>200</v>
      </c>
    </row>
    <row r="57" customFormat="false" ht="21.75" hidden="false" customHeight="true" outlineLevel="0" collapsed="false">
      <c r="B57" s="104"/>
      <c r="C57" s="104"/>
      <c r="D57" s="104"/>
      <c r="E57" s="104"/>
      <c r="F57" s="104"/>
      <c r="G57" s="104"/>
      <c r="H57" s="104"/>
      <c r="I57" s="104"/>
      <c r="J57" s="87" t="n">
        <v>10</v>
      </c>
      <c r="K57" s="88" t="n">
        <f aca="false">I55/1000*J57*(1+$K$8)</f>
        <v>1148.4</v>
      </c>
      <c r="L57" s="89" t="n">
        <v>3</v>
      </c>
      <c r="M57" s="88" t="n">
        <f aca="false">$L$8*L57</f>
        <v>240</v>
      </c>
      <c r="N57" s="88" t="n">
        <f aca="false">SUM(K57:M57)*0.1</f>
        <v>139.14</v>
      </c>
      <c r="O57" s="90" t="n">
        <f aca="false">SUM(K57+M57+N57)</f>
        <v>1527.54</v>
      </c>
      <c r="P57" s="91" t="n">
        <v>500</v>
      </c>
      <c r="Q57" s="92" t="n">
        <v>3600</v>
      </c>
      <c r="R57" s="93" t="n">
        <f aca="false">(Q57-O57)/Q57</f>
        <v>0.575683333333333</v>
      </c>
      <c r="S57" s="102" t="n">
        <f aca="false">Q57/J57*1000</f>
        <v>360000</v>
      </c>
      <c r="T57" s="105"/>
      <c r="U57" s="96"/>
      <c r="V57" s="106"/>
      <c r="W57" s="98" t="n">
        <f aca="false">S57*(1-$W$8)</f>
        <v>360000</v>
      </c>
      <c r="X57" s="98" t="n">
        <f aca="false">S57*(1-$X$8)</f>
        <v>324000</v>
      </c>
      <c r="Y57" s="98" t="n">
        <f aca="false">S57*(1-$Y$8)</f>
        <v>306000</v>
      </c>
      <c r="Z57" s="98" t="n">
        <f aca="false">S57*(1-$Z$8)</f>
        <v>288000</v>
      </c>
      <c r="AA57" s="98" t="n">
        <f aca="false">Q57*(1-$AA$8)</f>
        <v>2880</v>
      </c>
      <c r="AB57" s="93" t="n">
        <f aca="false">(AA57-O57)/AA57</f>
        <v>0.469604166666667</v>
      </c>
      <c r="AC57" s="100" t="s">
        <v>130</v>
      </c>
      <c r="AD57" s="88" t="s">
        <v>131</v>
      </c>
      <c r="AE57" s="101" t="n">
        <v>300</v>
      </c>
      <c r="AF57" s="101" t="n">
        <v>150</v>
      </c>
      <c r="AG57" s="101" t="n">
        <v>50</v>
      </c>
      <c r="AH57" s="101" t="n">
        <v>100</v>
      </c>
      <c r="AI57" s="101" t="n">
        <v>200</v>
      </c>
    </row>
    <row r="58" customFormat="false" ht="34.5" hidden="false" customHeight="true" outlineLevel="0" collapsed="false">
      <c r="B58" s="51" t="s">
        <v>144</v>
      </c>
      <c r="C58" s="54"/>
      <c r="D58" s="54"/>
      <c r="E58" s="54"/>
      <c r="F58" s="54"/>
      <c r="K58" s="55"/>
    </row>
    <row r="59" customFormat="false" ht="21.75" hidden="false" customHeight="true" outlineLevel="0" collapsed="false">
      <c r="K59" s="56"/>
      <c r="M59" s="47" t="s">
        <v>89</v>
      </c>
      <c r="Q59" s="57" t="s">
        <v>90</v>
      </c>
      <c r="U59" s="57" t="s">
        <v>91</v>
      </c>
      <c r="V59" s="47"/>
      <c r="W59" s="58" t="s">
        <v>92</v>
      </c>
      <c r="X59" s="58"/>
      <c r="Y59" s="58"/>
      <c r="Z59" s="58"/>
      <c r="AA59" s="59"/>
      <c r="AB59" s="59"/>
      <c r="AD59" s="60" t="s">
        <v>93</v>
      </c>
      <c r="AE59" s="60"/>
      <c r="AF59" s="60"/>
      <c r="AG59" s="60"/>
      <c r="AH59" s="60"/>
      <c r="AI59" s="60"/>
    </row>
    <row r="60" customFormat="false" ht="21.75" hidden="false" customHeight="true" outlineLevel="0" collapsed="false">
      <c r="B60" s="61" t="s">
        <v>94</v>
      </c>
      <c r="C60" s="61" t="s">
        <v>8</v>
      </c>
      <c r="D60" s="61" t="s">
        <v>95</v>
      </c>
      <c r="E60" s="62" t="s">
        <v>96</v>
      </c>
      <c r="F60" s="62" t="s">
        <v>97</v>
      </c>
      <c r="G60" s="62" t="s">
        <v>98</v>
      </c>
      <c r="H60" s="62" t="s">
        <v>99</v>
      </c>
      <c r="I60" s="62" t="s">
        <v>100</v>
      </c>
      <c r="J60" s="63" t="s">
        <v>101</v>
      </c>
      <c r="K60" s="64" t="s">
        <v>102</v>
      </c>
      <c r="L60" s="64" t="s">
        <v>103</v>
      </c>
      <c r="M60" s="64" t="s">
        <v>104</v>
      </c>
      <c r="N60" s="63" t="s">
        <v>105</v>
      </c>
      <c r="O60" s="64" t="s">
        <v>106</v>
      </c>
      <c r="P60" s="65" t="s">
        <v>107</v>
      </c>
      <c r="Q60" s="66" t="s">
        <v>108</v>
      </c>
      <c r="R60" s="67" t="s">
        <v>14</v>
      </c>
      <c r="S60" s="68" t="s">
        <v>109</v>
      </c>
      <c r="T60" s="69" t="s">
        <v>110</v>
      </c>
      <c r="U60" s="70" t="s">
        <v>111</v>
      </c>
      <c r="V60" s="71"/>
      <c r="W60" s="72" t="s">
        <v>112</v>
      </c>
      <c r="X60" s="72" t="s">
        <v>113</v>
      </c>
      <c r="Y60" s="72" t="s">
        <v>114</v>
      </c>
      <c r="Z60" s="72" t="s">
        <v>115</v>
      </c>
      <c r="AA60" s="72" t="s">
        <v>115</v>
      </c>
      <c r="AB60" s="62" t="s">
        <v>116</v>
      </c>
      <c r="AC60" s="62" t="s">
        <v>117</v>
      </c>
      <c r="AD60" s="60" t="s">
        <v>4</v>
      </c>
      <c r="AE60" s="60" t="s">
        <v>21</v>
      </c>
      <c r="AF60" s="60" t="s">
        <v>22</v>
      </c>
      <c r="AG60" s="60" t="s">
        <v>118</v>
      </c>
      <c r="AH60" s="60" t="s">
        <v>119</v>
      </c>
      <c r="AI60" s="60" t="s">
        <v>25</v>
      </c>
    </row>
    <row r="61" customFormat="false" ht="21.75" hidden="false" customHeight="true" outlineLevel="0" collapsed="false">
      <c r="B61" s="61"/>
      <c r="C61" s="61"/>
      <c r="D61" s="61"/>
      <c r="E61" s="61"/>
      <c r="F61" s="61"/>
      <c r="G61" s="62"/>
      <c r="H61" s="62"/>
      <c r="I61" s="62"/>
      <c r="J61" s="62"/>
      <c r="K61" s="64" t="s">
        <v>120</v>
      </c>
      <c r="L61" s="64" t="s">
        <v>121</v>
      </c>
      <c r="M61" s="73" t="s">
        <v>122</v>
      </c>
      <c r="N61" s="74" t="s">
        <v>123</v>
      </c>
      <c r="O61" s="74" t="s">
        <v>124</v>
      </c>
      <c r="P61" s="65"/>
      <c r="Q61" s="75" t="s">
        <v>125</v>
      </c>
      <c r="R61" s="76" t="s">
        <v>126</v>
      </c>
      <c r="S61" s="68"/>
      <c r="T61" s="69"/>
      <c r="U61" s="70"/>
      <c r="V61" s="77"/>
      <c r="W61" s="78" t="s">
        <v>127</v>
      </c>
      <c r="X61" s="78" t="s">
        <v>127</v>
      </c>
      <c r="Y61" s="78" t="s">
        <v>127</v>
      </c>
      <c r="Z61" s="78" t="s">
        <v>127</v>
      </c>
      <c r="AA61" s="78" t="s">
        <v>127</v>
      </c>
      <c r="AB61" s="78"/>
      <c r="AC61" s="62"/>
      <c r="AD61" s="62"/>
      <c r="AE61" s="62"/>
      <c r="AF61" s="62"/>
      <c r="AG61" s="62"/>
      <c r="AH61" s="60"/>
      <c r="AI61" s="60"/>
    </row>
    <row r="62" customFormat="false" ht="21.75" hidden="false" customHeight="true" outlineLevel="0" collapsed="false">
      <c r="B62" s="61"/>
      <c r="C62" s="61"/>
      <c r="D62" s="61"/>
      <c r="E62" s="61"/>
      <c r="F62" s="61"/>
      <c r="G62" s="79" t="n">
        <v>0.18</v>
      </c>
      <c r="H62" s="62"/>
      <c r="I62" s="62"/>
      <c r="J62" s="62"/>
      <c r="K62" s="80" t="n">
        <v>0.1</v>
      </c>
      <c r="L62" s="74" t="n">
        <v>80</v>
      </c>
      <c r="M62" s="73"/>
      <c r="N62" s="73"/>
      <c r="O62" s="73"/>
      <c r="P62" s="65"/>
      <c r="Q62" s="75"/>
      <c r="R62" s="76"/>
      <c r="S62" s="68"/>
      <c r="T62" s="69"/>
      <c r="U62" s="70"/>
      <c r="V62" s="81"/>
      <c r="W62" s="79" t="n">
        <v>0</v>
      </c>
      <c r="X62" s="79" t="n">
        <v>0.1</v>
      </c>
      <c r="Y62" s="79" t="n">
        <v>0.15</v>
      </c>
      <c r="Z62" s="79" t="n">
        <v>0.2</v>
      </c>
      <c r="AA62" s="79" t="n">
        <v>0.2</v>
      </c>
      <c r="AB62" s="79"/>
      <c r="AC62" s="62"/>
      <c r="AD62" s="62"/>
      <c r="AE62" s="62"/>
      <c r="AF62" s="62"/>
      <c r="AG62" s="62"/>
      <c r="AH62" s="60"/>
      <c r="AI62" s="60"/>
    </row>
    <row r="63" customFormat="false" ht="21.75" hidden="false" customHeight="true" outlineLevel="0" collapsed="false">
      <c r="B63" s="104" t="s">
        <v>43</v>
      </c>
      <c r="C63" s="108" t="s">
        <v>145</v>
      </c>
      <c r="D63" s="83" t="s">
        <v>129</v>
      </c>
      <c r="E63" s="84" t="n">
        <v>100</v>
      </c>
      <c r="F63" s="125" t="s">
        <v>146</v>
      </c>
      <c r="G63" s="125"/>
      <c r="H63" s="84" t="n">
        <f aca="false">SUM(E63:G63)</f>
        <v>100</v>
      </c>
      <c r="I63" s="126" t="n">
        <f aca="false">H63*200</f>
        <v>20000</v>
      </c>
      <c r="J63" s="87" t="n">
        <v>5</v>
      </c>
      <c r="K63" s="88" t="n">
        <f aca="false">I63/1000*J63*(1+$K$8)</f>
        <v>110</v>
      </c>
      <c r="L63" s="89" t="n">
        <v>3</v>
      </c>
      <c r="M63" s="88" t="n">
        <f aca="false">$L$8*L63</f>
        <v>240</v>
      </c>
      <c r="N63" s="88" t="n">
        <f aca="false">SUM(K63:M63)*0.1</f>
        <v>35.3</v>
      </c>
      <c r="O63" s="90" t="n">
        <f aca="false">SUM(K63+M63+N63)</f>
        <v>385.3</v>
      </c>
      <c r="P63" s="91" t="n">
        <v>1000</v>
      </c>
      <c r="Q63" s="92" t="n">
        <v>1000</v>
      </c>
      <c r="R63" s="93" t="n">
        <f aca="false">(Q63-O63)/Q63</f>
        <v>0.6147</v>
      </c>
      <c r="S63" s="102" t="n">
        <f aca="false">Q63/J63*1000</f>
        <v>200000</v>
      </c>
      <c r="T63" s="107"/>
      <c r="U63" s="127" t="n">
        <v>100000</v>
      </c>
      <c r="V63" s="128"/>
      <c r="W63" s="98" t="n">
        <f aca="false">S63*(1-$W$8)</f>
        <v>200000</v>
      </c>
      <c r="X63" s="98" t="n">
        <f aca="false">S63*(1-$X$8)</f>
        <v>180000</v>
      </c>
      <c r="Y63" s="98" t="n">
        <f aca="false">S63*(1-$Y$8)</f>
        <v>170000</v>
      </c>
      <c r="Z63" s="98" t="n">
        <f aca="false">S63*(1-$Z$8)</f>
        <v>160000</v>
      </c>
      <c r="AA63" s="98" t="n">
        <f aca="false">Q63*(1-$AA$8)</f>
        <v>800</v>
      </c>
      <c r="AB63" s="93" t="n">
        <f aca="false">(AA63-O63)/AA63</f>
        <v>0.518375</v>
      </c>
      <c r="AC63" s="104" t="s">
        <v>132</v>
      </c>
      <c r="AD63" s="101" t="n">
        <v>200</v>
      </c>
      <c r="AE63" s="101" t="n">
        <v>300</v>
      </c>
      <c r="AF63" s="101" t="n">
        <v>150</v>
      </c>
      <c r="AG63" s="101" t="n">
        <v>50</v>
      </c>
      <c r="AH63" s="101" t="n">
        <v>100</v>
      </c>
      <c r="AI63" s="101" t="n">
        <v>200</v>
      </c>
    </row>
    <row r="64" customFormat="false" ht="21.75" hidden="false" customHeight="true" outlineLevel="0" collapsed="false">
      <c r="B64" s="104"/>
      <c r="C64" s="104"/>
      <c r="D64" s="104"/>
      <c r="E64" s="104"/>
      <c r="F64" s="125"/>
      <c r="G64" s="125"/>
      <c r="H64" s="84"/>
      <c r="I64" s="84"/>
      <c r="J64" s="87" t="n">
        <v>10</v>
      </c>
      <c r="K64" s="88" t="n">
        <f aca="false">I63/1000*J64*(1+$K$8)</f>
        <v>220</v>
      </c>
      <c r="L64" s="89" t="n">
        <v>3</v>
      </c>
      <c r="M64" s="88" t="n">
        <f aca="false">$L$8*L64</f>
        <v>240</v>
      </c>
      <c r="N64" s="88" t="n">
        <f aca="false">SUM(K64:M64)*0.1</f>
        <v>46.3</v>
      </c>
      <c r="O64" s="90" t="n">
        <f aca="false">SUM(K64+M64+N64)</f>
        <v>506.3</v>
      </c>
      <c r="P64" s="91" t="n">
        <v>1000</v>
      </c>
      <c r="Q64" s="92" t="n">
        <v>1200</v>
      </c>
      <c r="R64" s="93" t="n">
        <f aca="false">(Q64-O64)/Q64</f>
        <v>0.578083333333333</v>
      </c>
      <c r="S64" s="102" t="n">
        <f aca="false">Q64/J64*1000</f>
        <v>120000</v>
      </c>
      <c r="T64" s="95"/>
      <c r="U64" s="127"/>
      <c r="V64" s="129"/>
      <c r="W64" s="98" t="n">
        <f aca="false">S64*(1-$W$8)</f>
        <v>120000</v>
      </c>
      <c r="X64" s="98" t="n">
        <f aca="false">S64*(1-$X$8)</f>
        <v>108000</v>
      </c>
      <c r="Y64" s="98" t="n">
        <f aca="false">S64*(1-$Y$8)</f>
        <v>102000</v>
      </c>
      <c r="Z64" s="98" t="n">
        <f aca="false">S64*(1-$Z$8)</f>
        <v>96000</v>
      </c>
      <c r="AA64" s="98" t="n">
        <f aca="false">Q64*(1-$AA$8)</f>
        <v>960</v>
      </c>
      <c r="AB64" s="93" t="n">
        <f aca="false">(AA64-O64)/AA64</f>
        <v>0.472604166666667</v>
      </c>
      <c r="AC64" s="104" t="s">
        <v>132</v>
      </c>
      <c r="AD64" s="101" t="n">
        <v>200</v>
      </c>
      <c r="AE64" s="101" t="n">
        <v>300</v>
      </c>
      <c r="AF64" s="101" t="n">
        <v>150</v>
      </c>
      <c r="AG64" s="101" t="n">
        <v>50</v>
      </c>
      <c r="AH64" s="101" t="n">
        <v>100</v>
      </c>
      <c r="AI64" s="101" t="n">
        <v>200</v>
      </c>
    </row>
    <row r="65" customFormat="false" ht="21.75" hidden="false" customHeight="true" outlineLevel="0" collapsed="false">
      <c r="B65" s="104"/>
      <c r="C65" s="104"/>
      <c r="D65" s="104"/>
      <c r="E65" s="104"/>
      <c r="F65" s="125"/>
      <c r="G65" s="125"/>
      <c r="H65" s="84"/>
      <c r="I65" s="84"/>
      <c r="J65" s="87" t="n">
        <v>15</v>
      </c>
      <c r="K65" s="88" t="n">
        <f aca="false">I63/1000*J65*(1+$K$8)</f>
        <v>330</v>
      </c>
      <c r="L65" s="89" t="n">
        <v>3</v>
      </c>
      <c r="M65" s="88" t="n">
        <f aca="false">$L$8*L65</f>
        <v>240</v>
      </c>
      <c r="N65" s="88" t="n">
        <f aca="false">SUM(K65:M65)*0.1</f>
        <v>57.3</v>
      </c>
      <c r="O65" s="90" t="n">
        <f aca="false">SUM(K65+M65+N65)</f>
        <v>627.3</v>
      </c>
      <c r="P65" s="91" t="n">
        <v>1000</v>
      </c>
      <c r="Q65" s="92" t="n">
        <v>1400</v>
      </c>
      <c r="R65" s="93" t="n">
        <f aca="false">(Q65-O65)/Q65</f>
        <v>0.551928571428571</v>
      </c>
      <c r="S65" s="102" t="n">
        <f aca="false">Q65/J65*1000</f>
        <v>93333.3333333333</v>
      </c>
      <c r="T65" s="95"/>
      <c r="U65" s="127"/>
      <c r="V65" s="129"/>
      <c r="W65" s="98" t="n">
        <f aca="false">S65*(1-$W$8)</f>
        <v>93333.3333333333</v>
      </c>
      <c r="X65" s="98" t="n">
        <f aca="false">S65*(1-$X$8)</f>
        <v>84000</v>
      </c>
      <c r="Y65" s="98" t="n">
        <f aca="false">S65*(1-$Y$8)</f>
        <v>79333.3333333333</v>
      </c>
      <c r="Z65" s="98" t="n">
        <f aca="false">S65*(1-$Z$8)</f>
        <v>74666.6666666667</v>
      </c>
      <c r="AA65" s="98" t="n">
        <f aca="false">Q65*(1-$AA$8)</f>
        <v>1120</v>
      </c>
      <c r="AB65" s="93" t="n">
        <f aca="false">(AA65-O65)/AA65</f>
        <v>0.439910714285714</v>
      </c>
      <c r="AC65" s="104" t="s">
        <v>132</v>
      </c>
      <c r="AD65" s="101" t="n">
        <v>200</v>
      </c>
      <c r="AE65" s="101" t="n">
        <v>300</v>
      </c>
      <c r="AF65" s="101" t="n">
        <v>150</v>
      </c>
      <c r="AG65" s="101" t="n">
        <v>50</v>
      </c>
      <c r="AH65" s="101" t="n">
        <v>100</v>
      </c>
      <c r="AI65" s="101" t="n">
        <v>200</v>
      </c>
    </row>
    <row r="66" customFormat="false" ht="21.75" hidden="false" customHeight="true" outlineLevel="0" collapsed="false">
      <c r="B66" s="104"/>
      <c r="C66" s="108"/>
      <c r="D66" s="108"/>
      <c r="E66" s="108"/>
      <c r="F66" s="125"/>
      <c r="G66" s="125"/>
      <c r="H66" s="84"/>
      <c r="I66" s="84"/>
      <c r="J66" s="87" t="n">
        <v>20</v>
      </c>
      <c r="K66" s="88" t="n">
        <f aca="false">I63/1000*J66*(1+$K$8)</f>
        <v>440</v>
      </c>
      <c r="L66" s="89" t="n">
        <v>3</v>
      </c>
      <c r="M66" s="88" t="n">
        <f aca="false">$L$8*L66</f>
        <v>240</v>
      </c>
      <c r="N66" s="88" t="n">
        <f aca="false">SUM(K66:M66)*0.1</f>
        <v>68.3</v>
      </c>
      <c r="O66" s="90" t="n">
        <f aca="false">SUM(K66+M66+N66)</f>
        <v>748.3</v>
      </c>
      <c r="P66" s="91" t="n">
        <v>1000</v>
      </c>
      <c r="Q66" s="92" t="n">
        <v>1600</v>
      </c>
      <c r="R66" s="93" t="n">
        <f aca="false">(Q66-O66)/Q66</f>
        <v>0.5323125</v>
      </c>
      <c r="S66" s="102" t="n">
        <f aca="false">Q66/J66*1000</f>
        <v>80000</v>
      </c>
      <c r="T66" s="105"/>
      <c r="U66" s="127"/>
      <c r="V66" s="130"/>
      <c r="W66" s="98" t="n">
        <f aca="false">S66*(1-$W$8)</f>
        <v>80000</v>
      </c>
      <c r="X66" s="98" t="n">
        <f aca="false">S66*(1-$X$8)</f>
        <v>72000</v>
      </c>
      <c r="Y66" s="98" t="n">
        <f aca="false">S66*(1-$Y$8)</f>
        <v>68000</v>
      </c>
      <c r="Z66" s="98" t="n">
        <f aca="false">S66*(1-$Z$8)</f>
        <v>64000</v>
      </c>
      <c r="AA66" s="98" t="n">
        <f aca="false">Q66*(1-$AA$8)</f>
        <v>1280</v>
      </c>
      <c r="AB66" s="93" t="n">
        <f aca="false">(AA66-O66)/AA66</f>
        <v>0.415390625</v>
      </c>
      <c r="AC66" s="104" t="s">
        <v>132</v>
      </c>
      <c r="AD66" s="101" t="n">
        <v>200</v>
      </c>
      <c r="AE66" s="101" t="n">
        <v>300</v>
      </c>
      <c r="AF66" s="101" t="n">
        <v>150</v>
      </c>
      <c r="AG66" s="101" t="n">
        <v>50</v>
      </c>
      <c r="AH66" s="101" t="n">
        <v>100</v>
      </c>
      <c r="AI66" s="101" t="n">
        <v>200</v>
      </c>
    </row>
    <row r="67" customFormat="false" ht="21.75" hidden="false" customHeight="true" outlineLevel="0" collapsed="false">
      <c r="B67" s="104"/>
      <c r="C67" s="108" t="s">
        <v>147</v>
      </c>
      <c r="D67" s="83" t="s">
        <v>129</v>
      </c>
      <c r="E67" s="84" t="n">
        <v>90</v>
      </c>
      <c r="F67" s="84" t="n">
        <v>50</v>
      </c>
      <c r="G67" s="84" t="n">
        <f aca="false">E67*$G$8</f>
        <v>16.2</v>
      </c>
      <c r="H67" s="84" t="n">
        <f aca="false">SUM(E67:G67)</f>
        <v>156.2</v>
      </c>
      <c r="I67" s="126" t="n">
        <f aca="false">H67*200</f>
        <v>31240</v>
      </c>
      <c r="J67" s="87" t="n">
        <v>5</v>
      </c>
      <c r="K67" s="88" t="n">
        <f aca="false">I67/1000*J67*(1+$K$8)</f>
        <v>171.82</v>
      </c>
      <c r="L67" s="89" t="n">
        <v>3</v>
      </c>
      <c r="M67" s="88" t="n">
        <f aca="false">$L$8*L67</f>
        <v>240</v>
      </c>
      <c r="N67" s="88" t="n">
        <f aca="false">SUM(K67:M67)*0.1</f>
        <v>41.482</v>
      </c>
      <c r="O67" s="90" t="n">
        <f aca="false">SUM(K67+M67+N67)</f>
        <v>453.302</v>
      </c>
      <c r="P67" s="91" t="n">
        <v>1000</v>
      </c>
      <c r="Q67" s="92" t="n">
        <v>1200</v>
      </c>
      <c r="R67" s="93" t="n">
        <f aca="false">(Q67-O67)/Q67</f>
        <v>0.622248333333333</v>
      </c>
      <c r="S67" s="102" t="n">
        <f aca="false">Q67/J67*1000</f>
        <v>240000</v>
      </c>
      <c r="T67" s="107"/>
      <c r="U67" s="127" t="s">
        <v>131</v>
      </c>
      <c r="V67" s="128"/>
      <c r="W67" s="98" t="n">
        <f aca="false">S67*(1-$W$8)</f>
        <v>240000</v>
      </c>
      <c r="X67" s="98" t="n">
        <f aca="false">S67*(1-$X$8)</f>
        <v>216000</v>
      </c>
      <c r="Y67" s="98" t="n">
        <f aca="false">S67*(1-$Y$8)</f>
        <v>204000</v>
      </c>
      <c r="Z67" s="98" t="n">
        <f aca="false">S67*(1-$Z$8)</f>
        <v>192000</v>
      </c>
      <c r="AA67" s="98" t="n">
        <f aca="false">Q67*(1-$AA$8)</f>
        <v>960</v>
      </c>
      <c r="AB67" s="93" t="n">
        <f aca="false">(AA67-O67)/AA67</f>
        <v>0.527810416666667</v>
      </c>
      <c r="AC67" s="104" t="s">
        <v>132</v>
      </c>
      <c r="AD67" s="101" t="n">
        <v>200</v>
      </c>
      <c r="AE67" s="101" t="n">
        <v>300</v>
      </c>
      <c r="AF67" s="101" t="n">
        <v>150</v>
      </c>
      <c r="AG67" s="101" t="n">
        <v>50</v>
      </c>
      <c r="AH67" s="101" t="n">
        <v>100</v>
      </c>
      <c r="AI67" s="101" t="n">
        <v>200</v>
      </c>
    </row>
    <row r="68" customFormat="false" ht="21.75" hidden="false" customHeight="true" outlineLevel="0" collapsed="false">
      <c r="B68" s="104"/>
      <c r="C68" s="104"/>
      <c r="D68" s="104"/>
      <c r="E68" s="104"/>
      <c r="F68" s="84"/>
      <c r="G68" s="84"/>
      <c r="H68" s="84"/>
      <c r="I68" s="84"/>
      <c r="J68" s="87" t="n">
        <v>10</v>
      </c>
      <c r="K68" s="88" t="n">
        <f aca="false">I67/1000*J68*(1+$K$8)</f>
        <v>343.64</v>
      </c>
      <c r="L68" s="89" t="n">
        <v>3</v>
      </c>
      <c r="M68" s="88" t="n">
        <f aca="false">$L$8*L68</f>
        <v>240</v>
      </c>
      <c r="N68" s="88" t="n">
        <f aca="false">SUM(K68:M68)*0.1</f>
        <v>58.664</v>
      </c>
      <c r="O68" s="90" t="n">
        <f aca="false">SUM(K68+M68+N68)</f>
        <v>642.304</v>
      </c>
      <c r="P68" s="91" t="n">
        <v>1000</v>
      </c>
      <c r="Q68" s="92" t="n">
        <v>1500</v>
      </c>
      <c r="R68" s="93" t="n">
        <f aca="false">(Q68-O68)/Q68</f>
        <v>0.571797333333333</v>
      </c>
      <c r="S68" s="102" t="n">
        <f aca="false">Q68/J68*1000</f>
        <v>150000</v>
      </c>
      <c r="T68" s="95"/>
      <c r="U68" s="127"/>
      <c r="V68" s="129"/>
      <c r="W68" s="98" t="n">
        <f aca="false">S68*(1-$W$8)</f>
        <v>150000</v>
      </c>
      <c r="X68" s="98" t="n">
        <f aca="false">S68*(1-$X$8)</f>
        <v>135000</v>
      </c>
      <c r="Y68" s="98" t="n">
        <f aca="false">S68*(1-$Y$8)</f>
        <v>127500</v>
      </c>
      <c r="Z68" s="98" t="n">
        <f aca="false">S68*(1-$Z$8)</f>
        <v>120000</v>
      </c>
      <c r="AA68" s="98" t="n">
        <f aca="false">Q68*(1-$AA$8)</f>
        <v>1200</v>
      </c>
      <c r="AB68" s="93" t="n">
        <f aca="false">(AA68-O68)/AA68</f>
        <v>0.464746666666667</v>
      </c>
      <c r="AC68" s="104" t="s">
        <v>132</v>
      </c>
      <c r="AD68" s="101" t="n">
        <v>200</v>
      </c>
      <c r="AE68" s="101" t="n">
        <v>300</v>
      </c>
      <c r="AF68" s="101" t="n">
        <v>150</v>
      </c>
      <c r="AG68" s="101" t="n">
        <v>50</v>
      </c>
      <c r="AH68" s="101" t="n">
        <v>100</v>
      </c>
      <c r="AI68" s="101" t="n">
        <v>200</v>
      </c>
    </row>
    <row r="69" customFormat="false" ht="21.75" hidden="false" customHeight="true" outlineLevel="0" collapsed="false">
      <c r="B69" s="104"/>
      <c r="C69" s="104"/>
      <c r="D69" s="104"/>
      <c r="E69" s="104"/>
      <c r="F69" s="84"/>
      <c r="G69" s="84"/>
      <c r="H69" s="84"/>
      <c r="I69" s="84"/>
      <c r="J69" s="87" t="n">
        <v>15</v>
      </c>
      <c r="K69" s="88" t="n">
        <f aca="false">I67/1000*J69*(1+$K$8)</f>
        <v>515.46</v>
      </c>
      <c r="L69" s="89" t="n">
        <v>3</v>
      </c>
      <c r="M69" s="88" t="n">
        <f aca="false">$L$8*L69</f>
        <v>240</v>
      </c>
      <c r="N69" s="88" t="n">
        <f aca="false">SUM(K69:M69)*0.1</f>
        <v>75.846</v>
      </c>
      <c r="O69" s="90" t="n">
        <f aca="false">SUM(K69+M69+N69)</f>
        <v>831.306</v>
      </c>
      <c r="P69" s="91" t="n">
        <v>1000</v>
      </c>
      <c r="Q69" s="92" t="n">
        <v>1800</v>
      </c>
      <c r="R69" s="93" t="n">
        <f aca="false">(Q69-O69)/Q69</f>
        <v>0.538163333333333</v>
      </c>
      <c r="S69" s="102" t="n">
        <f aca="false">Q69/J69*1000</f>
        <v>120000</v>
      </c>
      <c r="T69" s="95"/>
      <c r="U69" s="127"/>
      <c r="V69" s="129"/>
      <c r="W69" s="98" t="n">
        <f aca="false">S69*(1-$W$8)</f>
        <v>120000</v>
      </c>
      <c r="X69" s="98" t="n">
        <f aca="false">S69*(1-$X$8)</f>
        <v>108000</v>
      </c>
      <c r="Y69" s="98" t="n">
        <f aca="false">S69*(1-$Y$8)</f>
        <v>102000</v>
      </c>
      <c r="Z69" s="98" t="n">
        <f aca="false">S69*(1-$Z$8)</f>
        <v>96000</v>
      </c>
      <c r="AA69" s="98" t="n">
        <f aca="false">Q69*(1-$AA$8)</f>
        <v>1440</v>
      </c>
      <c r="AB69" s="93" t="n">
        <f aca="false">(AA69-O69)/AA69</f>
        <v>0.422704166666667</v>
      </c>
      <c r="AC69" s="104" t="s">
        <v>132</v>
      </c>
      <c r="AD69" s="101" t="n">
        <v>200</v>
      </c>
      <c r="AE69" s="101" t="n">
        <v>300</v>
      </c>
      <c r="AF69" s="101" t="n">
        <v>150</v>
      </c>
      <c r="AG69" s="101" t="n">
        <v>50</v>
      </c>
      <c r="AH69" s="101" t="n">
        <v>100</v>
      </c>
      <c r="AI69" s="101" t="n">
        <v>200</v>
      </c>
    </row>
    <row r="70" customFormat="false" ht="21.75" hidden="false" customHeight="true" outlineLevel="0" collapsed="false">
      <c r="B70" s="104"/>
      <c r="C70" s="108"/>
      <c r="D70" s="108"/>
      <c r="E70" s="108"/>
      <c r="F70" s="84"/>
      <c r="G70" s="84"/>
      <c r="H70" s="84"/>
      <c r="I70" s="84"/>
      <c r="J70" s="87" t="n">
        <v>20</v>
      </c>
      <c r="K70" s="88" t="n">
        <f aca="false">I67/1000*J70*(1+$K$8)</f>
        <v>687.28</v>
      </c>
      <c r="L70" s="89" t="n">
        <v>3</v>
      </c>
      <c r="M70" s="88" t="n">
        <f aca="false">$L$8*L70</f>
        <v>240</v>
      </c>
      <c r="N70" s="88" t="n">
        <f aca="false">SUM(K70:M70)*0.1</f>
        <v>93.028</v>
      </c>
      <c r="O70" s="90" t="n">
        <f aca="false">SUM(K70+M70+N70)</f>
        <v>1020.308</v>
      </c>
      <c r="P70" s="91" t="n">
        <v>1000</v>
      </c>
      <c r="Q70" s="92" t="n">
        <v>2100</v>
      </c>
      <c r="R70" s="93" t="n">
        <f aca="false">(Q70-O70)/Q70</f>
        <v>0.514139047619048</v>
      </c>
      <c r="S70" s="102" t="n">
        <f aca="false">Q70/J70*1000</f>
        <v>105000</v>
      </c>
      <c r="T70" s="105"/>
      <c r="U70" s="127"/>
      <c r="V70" s="130"/>
      <c r="W70" s="98" t="n">
        <f aca="false">S70*(1-$W$8)</f>
        <v>105000</v>
      </c>
      <c r="X70" s="98" t="n">
        <f aca="false">S70*(1-$X$8)</f>
        <v>94500</v>
      </c>
      <c r="Y70" s="98" t="n">
        <f aca="false">S70*(1-$Y$8)</f>
        <v>89250</v>
      </c>
      <c r="Z70" s="98" t="n">
        <f aca="false">S70*(1-$Z$8)</f>
        <v>84000</v>
      </c>
      <c r="AA70" s="98" t="n">
        <f aca="false">Q70*(1-$AA$8)</f>
        <v>1680</v>
      </c>
      <c r="AB70" s="93" t="n">
        <f aca="false">(AA70-O70)/AA70</f>
        <v>0.39267380952381</v>
      </c>
      <c r="AC70" s="104" t="s">
        <v>132</v>
      </c>
      <c r="AD70" s="101" t="n">
        <v>200</v>
      </c>
      <c r="AE70" s="101" t="n">
        <v>300</v>
      </c>
      <c r="AF70" s="101" t="n">
        <v>150</v>
      </c>
      <c r="AG70" s="101" t="n">
        <v>50</v>
      </c>
      <c r="AH70" s="101" t="n">
        <v>100</v>
      </c>
      <c r="AI70" s="101" t="n">
        <v>200</v>
      </c>
    </row>
    <row r="71" customFormat="false" ht="21.75" hidden="false" customHeight="true" outlineLevel="0" collapsed="false">
      <c r="B71" s="104"/>
      <c r="C71" s="108" t="s">
        <v>148</v>
      </c>
      <c r="D71" s="83" t="s">
        <v>129</v>
      </c>
      <c r="E71" s="84" t="n">
        <v>130</v>
      </c>
      <c r="F71" s="125" t="s">
        <v>146</v>
      </c>
      <c r="G71" s="125"/>
      <c r="H71" s="84" t="n">
        <f aca="false">SUM(E71:G71)</f>
        <v>130</v>
      </c>
      <c r="I71" s="126" t="n">
        <f aca="false">H71*200</f>
        <v>26000</v>
      </c>
      <c r="J71" s="87" t="n">
        <v>5</v>
      </c>
      <c r="K71" s="88" t="n">
        <f aca="false">I71/1000*J71*(1+$K$8)</f>
        <v>143</v>
      </c>
      <c r="L71" s="89" t="n">
        <v>3</v>
      </c>
      <c r="M71" s="88" t="n">
        <f aca="false">$L$8*L71</f>
        <v>240</v>
      </c>
      <c r="N71" s="88" t="n">
        <f aca="false">SUM(K71:M71)*0.1</f>
        <v>38.6</v>
      </c>
      <c r="O71" s="90" t="n">
        <f aca="false">SUM(K71+M71+N71)</f>
        <v>421.6</v>
      </c>
      <c r="P71" s="91" t="n">
        <v>1000</v>
      </c>
      <c r="Q71" s="92" t="n">
        <v>1100</v>
      </c>
      <c r="R71" s="93" t="n">
        <f aca="false">(Q71-O71)/Q71</f>
        <v>0.616727272727273</v>
      </c>
      <c r="S71" s="102" t="n">
        <f aca="false">Q71/J71*1000</f>
        <v>220000</v>
      </c>
      <c r="T71" s="107"/>
      <c r="U71" s="127" t="n">
        <v>100000</v>
      </c>
      <c r="V71" s="128"/>
      <c r="W71" s="98" t="n">
        <f aca="false">S71*(1-$W$8)</f>
        <v>220000</v>
      </c>
      <c r="X71" s="98" t="n">
        <f aca="false">S71*(1-$X$8)</f>
        <v>198000</v>
      </c>
      <c r="Y71" s="98" t="n">
        <f aca="false">S71*(1-$Y$8)</f>
        <v>187000</v>
      </c>
      <c r="Z71" s="98" t="n">
        <f aca="false">S71*(1-$Z$8)</f>
        <v>176000</v>
      </c>
      <c r="AA71" s="98" t="n">
        <f aca="false">Q71*(1-$AA$8)</f>
        <v>880</v>
      </c>
      <c r="AB71" s="93" t="n">
        <f aca="false">(AA71-O71)/AA71</f>
        <v>0.520909090909091</v>
      </c>
      <c r="AC71" s="104" t="s">
        <v>132</v>
      </c>
      <c r="AD71" s="101" t="n">
        <v>200</v>
      </c>
      <c r="AE71" s="101" t="n">
        <v>300</v>
      </c>
      <c r="AF71" s="101" t="n">
        <v>150</v>
      </c>
      <c r="AG71" s="101" t="n">
        <v>50</v>
      </c>
      <c r="AH71" s="101" t="n">
        <v>100</v>
      </c>
      <c r="AI71" s="101" t="n">
        <v>200</v>
      </c>
    </row>
    <row r="72" customFormat="false" ht="21.75" hidden="false" customHeight="true" outlineLevel="0" collapsed="false">
      <c r="B72" s="104"/>
      <c r="C72" s="104"/>
      <c r="D72" s="104"/>
      <c r="E72" s="104"/>
      <c r="F72" s="125"/>
      <c r="G72" s="125"/>
      <c r="H72" s="84"/>
      <c r="I72" s="84"/>
      <c r="J72" s="87" t="n">
        <v>10</v>
      </c>
      <c r="K72" s="88" t="n">
        <f aca="false">I71/1000*J72*(1+$K$8)</f>
        <v>286</v>
      </c>
      <c r="L72" s="89" t="n">
        <v>3</v>
      </c>
      <c r="M72" s="88" t="n">
        <f aca="false">$L$8*L72</f>
        <v>240</v>
      </c>
      <c r="N72" s="88" t="n">
        <f aca="false">SUM(K72:M72)*0.1</f>
        <v>52.9</v>
      </c>
      <c r="O72" s="90" t="n">
        <f aca="false">SUM(K72+M72+N72)</f>
        <v>578.9</v>
      </c>
      <c r="P72" s="91" t="n">
        <v>1000</v>
      </c>
      <c r="Q72" s="92" t="n">
        <v>1300</v>
      </c>
      <c r="R72" s="93" t="n">
        <f aca="false">(Q72-O72)/Q72</f>
        <v>0.554692307692308</v>
      </c>
      <c r="S72" s="102" t="n">
        <f aca="false">Q72/J72*1000</f>
        <v>130000</v>
      </c>
      <c r="T72" s="95"/>
      <c r="U72" s="127"/>
      <c r="V72" s="129"/>
      <c r="W72" s="98" t="n">
        <f aca="false">S72*(1-$W$8)</f>
        <v>130000</v>
      </c>
      <c r="X72" s="98" t="n">
        <f aca="false">S72*(1-$X$8)</f>
        <v>117000</v>
      </c>
      <c r="Y72" s="98" t="n">
        <f aca="false">S72*(1-$Y$8)</f>
        <v>110500</v>
      </c>
      <c r="Z72" s="98" t="n">
        <f aca="false">S72*(1-$Z$8)</f>
        <v>104000</v>
      </c>
      <c r="AA72" s="98" t="n">
        <f aca="false">Q72*(1-$AA$8)</f>
        <v>1040</v>
      </c>
      <c r="AB72" s="93" t="n">
        <f aca="false">(AA72-O72)/AA72</f>
        <v>0.443365384615385</v>
      </c>
      <c r="AC72" s="104" t="s">
        <v>132</v>
      </c>
      <c r="AD72" s="101" t="n">
        <v>200</v>
      </c>
      <c r="AE72" s="101" t="n">
        <v>300</v>
      </c>
      <c r="AF72" s="101" t="n">
        <v>150</v>
      </c>
      <c r="AG72" s="101" t="n">
        <v>50</v>
      </c>
      <c r="AH72" s="101" t="n">
        <v>100</v>
      </c>
      <c r="AI72" s="101" t="n">
        <v>200</v>
      </c>
    </row>
    <row r="73" customFormat="false" ht="21.75" hidden="false" customHeight="true" outlineLevel="0" collapsed="false">
      <c r="B73" s="104"/>
      <c r="C73" s="104"/>
      <c r="D73" s="104"/>
      <c r="E73" s="104"/>
      <c r="F73" s="125"/>
      <c r="G73" s="125"/>
      <c r="H73" s="84"/>
      <c r="I73" s="84"/>
      <c r="J73" s="87" t="n">
        <v>15</v>
      </c>
      <c r="K73" s="88" t="n">
        <f aca="false">I71/1000*J73*(1+$K$8)</f>
        <v>429</v>
      </c>
      <c r="L73" s="89" t="n">
        <v>3</v>
      </c>
      <c r="M73" s="88" t="n">
        <f aca="false">$L$8*L73</f>
        <v>240</v>
      </c>
      <c r="N73" s="88" t="n">
        <f aca="false">SUM(K73:M73)*0.1</f>
        <v>67.2</v>
      </c>
      <c r="O73" s="90" t="n">
        <f aca="false">SUM(K73+M73+N73)</f>
        <v>736.2</v>
      </c>
      <c r="P73" s="91" t="n">
        <v>1000</v>
      </c>
      <c r="Q73" s="92" t="n">
        <v>1500</v>
      </c>
      <c r="R73" s="93" t="n">
        <f aca="false">(Q73-O73)/Q73</f>
        <v>0.5092</v>
      </c>
      <c r="S73" s="102" t="n">
        <f aca="false">Q73/J73*1000</f>
        <v>100000</v>
      </c>
      <c r="T73" s="95"/>
      <c r="U73" s="127"/>
      <c r="V73" s="129"/>
      <c r="W73" s="98" t="n">
        <f aca="false">S73*(1-$W$8)</f>
        <v>100000</v>
      </c>
      <c r="X73" s="98" t="n">
        <f aca="false">S73*(1-$X$8)</f>
        <v>90000</v>
      </c>
      <c r="Y73" s="98" t="n">
        <f aca="false">S73*(1-$Y$8)</f>
        <v>85000</v>
      </c>
      <c r="Z73" s="98" t="n">
        <f aca="false">S73*(1-$Z$8)</f>
        <v>80000</v>
      </c>
      <c r="AA73" s="98" t="n">
        <f aca="false">Q73*(1-$AA$8)</f>
        <v>1200</v>
      </c>
      <c r="AB73" s="93" t="n">
        <f aca="false">(AA73-O73)/AA73</f>
        <v>0.3865</v>
      </c>
      <c r="AC73" s="104" t="s">
        <v>132</v>
      </c>
      <c r="AD73" s="101" t="n">
        <v>200</v>
      </c>
      <c r="AE73" s="101" t="n">
        <v>300</v>
      </c>
      <c r="AF73" s="101" t="n">
        <v>150</v>
      </c>
      <c r="AG73" s="101" t="n">
        <v>50</v>
      </c>
      <c r="AH73" s="101" t="n">
        <v>100</v>
      </c>
      <c r="AI73" s="101" t="n">
        <v>200</v>
      </c>
    </row>
    <row r="74" customFormat="false" ht="21.75" hidden="false" customHeight="true" outlineLevel="0" collapsed="false">
      <c r="B74" s="104"/>
      <c r="C74" s="104"/>
      <c r="D74" s="104"/>
      <c r="E74" s="104"/>
      <c r="F74" s="125"/>
      <c r="G74" s="125"/>
      <c r="H74" s="84"/>
      <c r="I74" s="84"/>
      <c r="J74" s="87" t="n">
        <v>20</v>
      </c>
      <c r="K74" s="88" t="n">
        <f aca="false">I71/1000*J74*(1+$K$8)</f>
        <v>572</v>
      </c>
      <c r="L74" s="89" t="n">
        <v>3</v>
      </c>
      <c r="M74" s="88" t="n">
        <f aca="false">$L$8*L74</f>
        <v>240</v>
      </c>
      <c r="N74" s="88" t="n">
        <f aca="false">SUM(K74:M74)*0.1</f>
        <v>81.5</v>
      </c>
      <c r="O74" s="90" t="n">
        <f aca="false">SUM(K74+M74+N74)</f>
        <v>893.5</v>
      </c>
      <c r="P74" s="91" t="n">
        <v>1000</v>
      </c>
      <c r="Q74" s="92" t="n">
        <v>1700</v>
      </c>
      <c r="R74" s="93" t="n">
        <f aca="false">(Q74-O74)/Q74</f>
        <v>0.474411764705882</v>
      </c>
      <c r="S74" s="102" t="n">
        <f aca="false">Q74/J74*1000</f>
        <v>85000</v>
      </c>
      <c r="T74" s="105"/>
      <c r="U74" s="127"/>
      <c r="V74" s="130"/>
      <c r="W74" s="98" t="n">
        <f aca="false">S74*(1-$W$8)</f>
        <v>85000</v>
      </c>
      <c r="X74" s="98" t="n">
        <f aca="false">S74*(1-$X$8)</f>
        <v>76500</v>
      </c>
      <c r="Y74" s="98" t="n">
        <f aca="false">S74*(1-$Y$8)</f>
        <v>72250</v>
      </c>
      <c r="Z74" s="98" t="n">
        <f aca="false">S74*(1-$Z$8)</f>
        <v>68000</v>
      </c>
      <c r="AA74" s="98" t="n">
        <f aca="false">Q74*(1-$AA$8)</f>
        <v>1360</v>
      </c>
      <c r="AB74" s="93" t="n">
        <f aca="false">(AA74-O74)/AA74</f>
        <v>0.343014705882353</v>
      </c>
      <c r="AC74" s="104" t="s">
        <v>132</v>
      </c>
      <c r="AD74" s="101" t="n">
        <v>200</v>
      </c>
      <c r="AE74" s="101" t="n">
        <v>300</v>
      </c>
      <c r="AF74" s="101" t="n">
        <v>150</v>
      </c>
      <c r="AG74" s="101" t="n">
        <v>50</v>
      </c>
      <c r="AH74" s="101" t="n">
        <v>100</v>
      </c>
      <c r="AI74" s="101" t="n">
        <v>200</v>
      </c>
    </row>
    <row r="75" customFormat="false" ht="21.75" hidden="false" customHeight="true" outlineLevel="0" collapsed="false">
      <c r="C75" s="110"/>
      <c r="D75" s="110"/>
      <c r="E75" s="111"/>
      <c r="F75" s="111"/>
      <c r="G75" s="111"/>
      <c r="H75" s="111"/>
      <c r="I75" s="131"/>
      <c r="K75" s="55"/>
      <c r="L75" s="114"/>
      <c r="M75" s="55"/>
      <c r="N75" s="55"/>
      <c r="O75" s="115"/>
      <c r="Q75" s="115"/>
      <c r="R75" s="116"/>
      <c r="S75" s="117"/>
      <c r="T75" s="117"/>
      <c r="U75" s="132"/>
      <c r="V75" s="132"/>
      <c r="W75" s="117"/>
      <c r="X75" s="117"/>
      <c r="Y75" s="117"/>
      <c r="Z75" s="117"/>
      <c r="AA75" s="117"/>
      <c r="AB75" s="116"/>
      <c r="AD75" s="119"/>
      <c r="AE75" s="119"/>
      <c r="AF75" s="119"/>
      <c r="AG75" s="119"/>
      <c r="AH75" s="119"/>
      <c r="AI75" s="119"/>
    </row>
    <row r="76" customFormat="false" ht="21.75" hidden="false" customHeight="true" outlineLevel="0" collapsed="false">
      <c r="C76" s="110"/>
      <c r="D76" s="110"/>
      <c r="E76" s="111"/>
      <c r="F76" s="111"/>
      <c r="G76" s="111"/>
      <c r="H76" s="111"/>
      <c r="I76" s="131"/>
      <c r="K76" s="55"/>
      <c r="L76" s="114"/>
      <c r="M76" s="55"/>
      <c r="N76" s="55"/>
      <c r="O76" s="115"/>
      <c r="Q76" s="115"/>
      <c r="R76" s="116"/>
      <c r="S76" s="117"/>
      <c r="T76" s="117"/>
      <c r="U76" s="132"/>
      <c r="V76" s="132"/>
      <c r="W76" s="117"/>
      <c r="X76" s="117"/>
      <c r="Y76" s="117"/>
      <c r="Z76" s="117"/>
      <c r="AA76" s="117"/>
      <c r="AB76" s="116"/>
      <c r="AD76" s="119"/>
      <c r="AE76" s="119"/>
      <c r="AF76" s="119"/>
      <c r="AG76" s="119"/>
      <c r="AH76" s="119"/>
      <c r="AI76" s="119"/>
    </row>
    <row r="77" customFormat="false" ht="21.75" hidden="false" customHeight="true" outlineLevel="0" collapsed="false">
      <c r="C77" s="110"/>
      <c r="D77" s="110"/>
      <c r="E77" s="111"/>
      <c r="F77" s="111"/>
      <c r="G77" s="111"/>
      <c r="H77" s="111"/>
      <c r="I77" s="131"/>
      <c r="K77" s="55"/>
      <c r="L77" s="114"/>
      <c r="M77" s="55"/>
      <c r="N77" s="55"/>
      <c r="O77" s="115"/>
      <c r="Q77" s="115"/>
      <c r="R77" s="116"/>
      <c r="S77" s="117"/>
      <c r="T77" s="117"/>
      <c r="U77" s="132"/>
      <c r="V77" s="132"/>
      <c r="W77" s="117"/>
      <c r="X77" s="117"/>
      <c r="Y77" s="117"/>
      <c r="Z77" s="117"/>
      <c r="AA77" s="117"/>
      <c r="AB77" s="116"/>
      <c r="AD77" s="119"/>
      <c r="AE77" s="119"/>
      <c r="AF77" s="119"/>
      <c r="AG77" s="119"/>
      <c r="AH77" s="119"/>
      <c r="AI77" s="119"/>
    </row>
    <row r="78" customFormat="false" ht="21.75" hidden="false" customHeight="true" outlineLevel="0" collapsed="false">
      <c r="C78" s="110"/>
      <c r="D78" s="110"/>
      <c r="E78" s="111"/>
      <c r="F78" s="111"/>
      <c r="G78" s="111"/>
      <c r="H78" s="111"/>
      <c r="I78" s="131"/>
      <c r="K78" s="55"/>
      <c r="L78" s="114"/>
      <c r="M78" s="55"/>
      <c r="N78" s="55"/>
      <c r="O78" s="115"/>
      <c r="Q78" s="115"/>
      <c r="R78" s="116"/>
      <c r="S78" s="117"/>
      <c r="T78" s="117"/>
      <c r="U78" s="132"/>
      <c r="V78" s="132"/>
      <c r="W78" s="117"/>
      <c r="X78" s="117"/>
      <c r="Y78" s="117"/>
      <c r="Z78" s="117"/>
      <c r="AA78" s="117"/>
      <c r="AB78" s="116"/>
      <c r="AD78" s="119"/>
      <c r="AE78" s="119"/>
      <c r="AF78" s="119"/>
      <c r="AG78" s="119"/>
      <c r="AH78" s="119"/>
      <c r="AI78" s="119"/>
    </row>
    <row r="79" customFormat="false" ht="21.75" hidden="false" customHeight="true" outlineLevel="0" collapsed="false">
      <c r="C79" s="110"/>
      <c r="D79" s="110"/>
      <c r="E79" s="111"/>
      <c r="F79" s="111"/>
      <c r="G79" s="111"/>
      <c r="H79" s="111"/>
      <c r="I79" s="131"/>
      <c r="K79" s="55"/>
      <c r="L79" s="114"/>
      <c r="M79" s="55"/>
      <c r="N79" s="55"/>
      <c r="O79" s="115"/>
      <c r="Q79" s="115"/>
      <c r="R79" s="116"/>
      <c r="S79" s="117"/>
      <c r="T79" s="117"/>
      <c r="U79" s="132"/>
      <c r="V79" s="132"/>
      <c r="W79" s="117"/>
      <c r="X79" s="117"/>
      <c r="Y79" s="117"/>
      <c r="Z79" s="117"/>
      <c r="AA79" s="117"/>
      <c r="AB79" s="116"/>
      <c r="AD79" s="119"/>
      <c r="AE79" s="119"/>
      <c r="AF79" s="119"/>
      <c r="AG79" s="119"/>
      <c r="AH79" s="119"/>
      <c r="AI79" s="119"/>
    </row>
    <row r="80" customFormat="false" ht="21.75" hidden="false" customHeight="true" outlineLevel="0" collapsed="false">
      <c r="C80" s="110"/>
      <c r="D80" s="110"/>
      <c r="E80" s="111"/>
      <c r="F80" s="111"/>
      <c r="G80" s="111"/>
      <c r="H80" s="111"/>
      <c r="I80" s="131"/>
      <c r="K80" s="55"/>
      <c r="L80" s="114"/>
      <c r="M80" s="55"/>
      <c r="N80" s="55"/>
      <c r="O80" s="115"/>
      <c r="Q80" s="115"/>
      <c r="R80" s="116"/>
      <c r="S80" s="117"/>
      <c r="T80" s="117"/>
      <c r="U80" s="132"/>
      <c r="V80" s="132"/>
      <c r="W80" s="117"/>
      <c r="X80" s="117"/>
      <c r="Y80" s="117"/>
      <c r="Z80" s="117"/>
      <c r="AA80" s="117"/>
      <c r="AB80" s="116"/>
      <c r="AD80" s="119"/>
      <c r="AE80" s="119"/>
      <c r="AF80" s="119"/>
      <c r="AG80" s="119"/>
      <c r="AH80" s="119"/>
      <c r="AI80" s="119"/>
    </row>
    <row r="81" customFormat="false" ht="21.75" hidden="false" customHeight="true" outlineLevel="0" collapsed="false">
      <c r="C81" s="110"/>
      <c r="D81" s="110"/>
      <c r="E81" s="111"/>
      <c r="F81" s="111"/>
      <c r="G81" s="111"/>
      <c r="H81" s="111"/>
      <c r="I81" s="131"/>
      <c r="K81" s="55"/>
      <c r="L81" s="114"/>
      <c r="M81" s="55"/>
      <c r="N81" s="55"/>
      <c r="O81" s="115"/>
      <c r="Q81" s="115"/>
      <c r="R81" s="116"/>
      <c r="S81" s="117"/>
      <c r="T81" s="117"/>
      <c r="U81" s="132"/>
      <c r="V81" s="132"/>
      <c r="W81" s="117"/>
      <c r="X81" s="117"/>
      <c r="Y81" s="117"/>
      <c r="Z81" s="117"/>
      <c r="AA81" s="117"/>
      <c r="AB81" s="116"/>
      <c r="AD81" s="119"/>
      <c r="AE81" s="119"/>
      <c r="AF81" s="119"/>
      <c r="AG81" s="119"/>
      <c r="AH81" s="119"/>
      <c r="AI81" s="119"/>
    </row>
    <row r="82" customFormat="false" ht="34.5" hidden="false" customHeight="true" outlineLevel="0" collapsed="false">
      <c r="B82" s="51" t="s">
        <v>149</v>
      </c>
      <c r="C82" s="54"/>
      <c r="D82" s="54"/>
      <c r="E82" s="54"/>
      <c r="F82" s="54"/>
      <c r="K82" s="55"/>
    </row>
    <row r="83" customFormat="false" ht="21.75" hidden="false" customHeight="true" outlineLevel="0" collapsed="false">
      <c r="K83" s="56"/>
      <c r="M83" s="47" t="s">
        <v>89</v>
      </c>
      <c r="Q83" s="57" t="s">
        <v>90</v>
      </c>
      <c r="U83" s="57" t="s">
        <v>91</v>
      </c>
      <c r="V83" s="47"/>
      <c r="W83" s="58" t="s">
        <v>92</v>
      </c>
      <c r="X83" s="58"/>
      <c r="Y83" s="58"/>
      <c r="Z83" s="58"/>
      <c r="AA83" s="59"/>
      <c r="AB83" s="59"/>
      <c r="AD83" s="60" t="s">
        <v>93</v>
      </c>
      <c r="AE83" s="60"/>
      <c r="AF83" s="60"/>
      <c r="AG83" s="60"/>
      <c r="AH83" s="60"/>
      <c r="AI83" s="60"/>
    </row>
    <row r="84" customFormat="false" ht="21.75" hidden="false" customHeight="true" outlineLevel="0" collapsed="false">
      <c r="B84" s="61" t="s">
        <v>94</v>
      </c>
      <c r="C84" s="61" t="s">
        <v>8</v>
      </c>
      <c r="D84" s="61" t="s">
        <v>95</v>
      </c>
      <c r="E84" s="62" t="s">
        <v>96</v>
      </c>
      <c r="F84" s="62" t="s">
        <v>97</v>
      </c>
      <c r="G84" s="62" t="s">
        <v>98</v>
      </c>
      <c r="H84" s="62" t="s">
        <v>99</v>
      </c>
      <c r="I84" s="62" t="s">
        <v>100</v>
      </c>
      <c r="J84" s="63" t="s">
        <v>101</v>
      </c>
      <c r="K84" s="64" t="s">
        <v>102</v>
      </c>
      <c r="L84" s="64" t="s">
        <v>103</v>
      </c>
      <c r="M84" s="64" t="s">
        <v>104</v>
      </c>
      <c r="N84" s="63" t="s">
        <v>105</v>
      </c>
      <c r="O84" s="64" t="s">
        <v>106</v>
      </c>
      <c r="P84" s="65" t="s">
        <v>107</v>
      </c>
      <c r="Q84" s="66" t="s">
        <v>108</v>
      </c>
      <c r="R84" s="67" t="s">
        <v>14</v>
      </c>
      <c r="S84" s="68" t="s">
        <v>109</v>
      </c>
      <c r="T84" s="69" t="s">
        <v>110</v>
      </c>
      <c r="U84" s="70" t="s">
        <v>111</v>
      </c>
      <c r="V84" s="71"/>
      <c r="W84" s="72" t="s">
        <v>112</v>
      </c>
      <c r="X84" s="72" t="s">
        <v>113</v>
      </c>
      <c r="Y84" s="72" t="s">
        <v>114</v>
      </c>
      <c r="Z84" s="72" t="s">
        <v>115</v>
      </c>
      <c r="AA84" s="72" t="s">
        <v>115</v>
      </c>
      <c r="AB84" s="62" t="s">
        <v>116</v>
      </c>
      <c r="AC84" s="62" t="s">
        <v>117</v>
      </c>
      <c r="AD84" s="60" t="s">
        <v>4</v>
      </c>
      <c r="AE84" s="60" t="s">
        <v>21</v>
      </c>
      <c r="AF84" s="60" t="s">
        <v>22</v>
      </c>
      <c r="AG84" s="60" t="s">
        <v>118</v>
      </c>
      <c r="AH84" s="60" t="s">
        <v>119</v>
      </c>
      <c r="AI84" s="60" t="s">
        <v>25</v>
      </c>
    </row>
    <row r="85" customFormat="false" ht="21.75" hidden="false" customHeight="true" outlineLevel="0" collapsed="false">
      <c r="B85" s="61"/>
      <c r="C85" s="61"/>
      <c r="D85" s="61"/>
      <c r="E85" s="61"/>
      <c r="F85" s="61"/>
      <c r="G85" s="62"/>
      <c r="H85" s="62"/>
      <c r="I85" s="62"/>
      <c r="J85" s="62"/>
      <c r="K85" s="64" t="s">
        <v>120</v>
      </c>
      <c r="L85" s="64" t="s">
        <v>121</v>
      </c>
      <c r="M85" s="73" t="s">
        <v>122</v>
      </c>
      <c r="N85" s="74" t="s">
        <v>123</v>
      </c>
      <c r="O85" s="74" t="s">
        <v>124</v>
      </c>
      <c r="P85" s="65"/>
      <c r="Q85" s="75" t="s">
        <v>125</v>
      </c>
      <c r="R85" s="76" t="s">
        <v>126</v>
      </c>
      <c r="S85" s="68"/>
      <c r="T85" s="69"/>
      <c r="U85" s="70"/>
      <c r="V85" s="77"/>
      <c r="W85" s="78" t="s">
        <v>127</v>
      </c>
      <c r="X85" s="78" t="s">
        <v>127</v>
      </c>
      <c r="Y85" s="78" t="s">
        <v>127</v>
      </c>
      <c r="Z85" s="78" t="s">
        <v>127</v>
      </c>
      <c r="AA85" s="78" t="s">
        <v>127</v>
      </c>
      <c r="AB85" s="78"/>
      <c r="AC85" s="62"/>
      <c r="AD85" s="62"/>
      <c r="AE85" s="62"/>
      <c r="AF85" s="62"/>
      <c r="AG85" s="62"/>
      <c r="AH85" s="60"/>
      <c r="AI85" s="60"/>
    </row>
    <row r="86" customFormat="false" ht="21.75" hidden="false" customHeight="true" outlineLevel="0" collapsed="false">
      <c r="B86" s="61"/>
      <c r="C86" s="61"/>
      <c r="D86" s="61"/>
      <c r="E86" s="61"/>
      <c r="F86" s="61"/>
      <c r="G86" s="79" t="n">
        <v>0.18</v>
      </c>
      <c r="H86" s="62"/>
      <c r="I86" s="62"/>
      <c r="J86" s="62"/>
      <c r="K86" s="80" t="n">
        <v>0.1</v>
      </c>
      <c r="L86" s="74" t="n">
        <v>80</v>
      </c>
      <c r="M86" s="73"/>
      <c r="N86" s="73"/>
      <c r="O86" s="73"/>
      <c r="P86" s="65"/>
      <c r="Q86" s="75"/>
      <c r="R86" s="76"/>
      <c r="S86" s="68"/>
      <c r="T86" s="69"/>
      <c r="U86" s="70"/>
      <c r="V86" s="81"/>
      <c r="W86" s="79" t="n">
        <v>0</v>
      </c>
      <c r="X86" s="79" t="n">
        <v>0.1</v>
      </c>
      <c r="Y86" s="79" t="n">
        <v>0.15</v>
      </c>
      <c r="Z86" s="79" t="n">
        <v>0.2</v>
      </c>
      <c r="AA86" s="79" t="n">
        <v>0.2</v>
      </c>
      <c r="AB86" s="79"/>
      <c r="AC86" s="62"/>
      <c r="AD86" s="62"/>
      <c r="AE86" s="62"/>
      <c r="AF86" s="62"/>
      <c r="AG86" s="62"/>
      <c r="AH86" s="60"/>
      <c r="AI86" s="60"/>
    </row>
    <row r="87" customFormat="false" ht="21.75" hidden="false" customHeight="true" outlineLevel="0" collapsed="false">
      <c r="B87" s="104" t="s">
        <v>48</v>
      </c>
      <c r="C87" s="108" t="s">
        <v>150</v>
      </c>
      <c r="D87" s="83" t="s">
        <v>129</v>
      </c>
      <c r="E87" s="84" t="n">
        <v>20</v>
      </c>
      <c r="F87" s="125" t="s">
        <v>146</v>
      </c>
      <c r="G87" s="125"/>
      <c r="H87" s="84" t="n">
        <f aca="false">SUM(E87:G87)</f>
        <v>20</v>
      </c>
      <c r="I87" s="126" t="n">
        <f aca="false">H87*200</f>
        <v>4000</v>
      </c>
      <c r="J87" s="87" t="n">
        <v>50</v>
      </c>
      <c r="K87" s="88" t="n">
        <f aca="false">I87/1000*J87*(1+$K$8)</f>
        <v>220</v>
      </c>
      <c r="L87" s="89" t="n">
        <v>3</v>
      </c>
      <c r="M87" s="88" t="n">
        <f aca="false">$L$8*L87</f>
        <v>240</v>
      </c>
      <c r="N87" s="88" t="n">
        <f aca="false">SUM(K87:M87)*0.1</f>
        <v>46.3</v>
      </c>
      <c r="O87" s="90" t="n">
        <f aca="false">SUM(K87+M87+N87)</f>
        <v>506.3</v>
      </c>
      <c r="P87" s="91" t="n">
        <v>1000</v>
      </c>
      <c r="Q87" s="92" t="n">
        <v>1200</v>
      </c>
      <c r="R87" s="93" t="n">
        <f aca="false">(Q87-O87)/Q87</f>
        <v>0.578083333333333</v>
      </c>
      <c r="S87" s="102" t="n">
        <f aca="false">Q87/J87*1000</f>
        <v>24000</v>
      </c>
      <c r="T87" s="107"/>
      <c r="U87" s="96" t="n">
        <v>16000</v>
      </c>
      <c r="V87" s="97"/>
      <c r="W87" s="98" t="n">
        <f aca="false">S87*(1-$W$8)</f>
        <v>24000</v>
      </c>
      <c r="X87" s="98" t="n">
        <f aca="false">S87*(1-$X$8)</f>
        <v>21600</v>
      </c>
      <c r="Y87" s="98" t="n">
        <f aca="false">S87*(1-$Y$8)</f>
        <v>20400</v>
      </c>
      <c r="Z87" s="98" t="n">
        <f aca="false">S87*(1-$Z$8)</f>
        <v>19200</v>
      </c>
      <c r="AA87" s="98" t="n">
        <f aca="false">Q87*(1-$AA$8)</f>
        <v>960</v>
      </c>
      <c r="AB87" s="93" t="n">
        <f aca="false">(AA87-O87)/AA87</f>
        <v>0.472604166666667</v>
      </c>
      <c r="AC87" s="104" t="s">
        <v>132</v>
      </c>
      <c r="AD87" s="101" t="n">
        <v>600</v>
      </c>
      <c r="AE87" s="101" t="n">
        <v>300</v>
      </c>
      <c r="AF87" s="101" t="n">
        <v>150</v>
      </c>
      <c r="AG87" s="101" t="n">
        <v>50</v>
      </c>
      <c r="AH87" s="101" t="n">
        <v>100</v>
      </c>
      <c r="AI87" s="101" t="n">
        <v>200</v>
      </c>
    </row>
    <row r="88" customFormat="false" ht="21.75" hidden="false" customHeight="true" outlineLevel="0" collapsed="false">
      <c r="B88" s="104"/>
      <c r="C88" s="104"/>
      <c r="D88" s="104"/>
      <c r="E88" s="104"/>
      <c r="F88" s="125"/>
      <c r="G88" s="125"/>
      <c r="H88" s="84"/>
      <c r="I88" s="84"/>
      <c r="J88" s="87" t="n">
        <v>100</v>
      </c>
      <c r="K88" s="88" t="n">
        <f aca="false">I87/1000*J88*(1+$K$8)</f>
        <v>440</v>
      </c>
      <c r="L88" s="89" t="n">
        <v>3</v>
      </c>
      <c r="M88" s="88" t="n">
        <f aca="false">$L$8*L88</f>
        <v>240</v>
      </c>
      <c r="N88" s="88" t="n">
        <f aca="false">SUM(K88:M88)*0.1</f>
        <v>68.3</v>
      </c>
      <c r="O88" s="90" t="n">
        <f aca="false">SUM(K88+M88+N88)</f>
        <v>748.3</v>
      </c>
      <c r="P88" s="91" t="n">
        <v>1000</v>
      </c>
      <c r="Q88" s="92" t="n">
        <v>1800</v>
      </c>
      <c r="R88" s="93" t="n">
        <f aca="false">(Q88-O88)/Q88</f>
        <v>0.584277777777778</v>
      </c>
      <c r="S88" s="102" t="n">
        <f aca="false">Q88/J88*1000</f>
        <v>18000</v>
      </c>
      <c r="T88" s="95"/>
      <c r="U88" s="96"/>
      <c r="V88" s="103"/>
      <c r="W88" s="98" t="n">
        <f aca="false">S88*(1-$W$8)</f>
        <v>18000</v>
      </c>
      <c r="X88" s="98" t="n">
        <f aca="false">S88*(1-$X$8)</f>
        <v>16200</v>
      </c>
      <c r="Y88" s="98" t="n">
        <f aca="false">S88*(1-$Y$8)</f>
        <v>15300</v>
      </c>
      <c r="Z88" s="98" t="n">
        <f aca="false">S88*(1-$Z$8)</f>
        <v>14400</v>
      </c>
      <c r="AA88" s="98" t="n">
        <f aca="false">Q88*(1-$AA$8)</f>
        <v>1440</v>
      </c>
      <c r="AB88" s="93" t="n">
        <f aca="false">(AA88-O88)/AA88</f>
        <v>0.480347222222222</v>
      </c>
      <c r="AC88" s="104" t="s">
        <v>132</v>
      </c>
      <c r="AD88" s="101" t="n">
        <v>600</v>
      </c>
      <c r="AE88" s="101" t="n">
        <v>300</v>
      </c>
      <c r="AF88" s="101" t="n">
        <v>150</v>
      </c>
      <c r="AG88" s="101" t="n">
        <v>50</v>
      </c>
      <c r="AH88" s="101" t="n">
        <v>100</v>
      </c>
      <c r="AI88" s="101" t="n">
        <v>200</v>
      </c>
    </row>
    <row r="89" customFormat="false" ht="21.75" hidden="false" customHeight="true" outlineLevel="0" collapsed="false">
      <c r="B89" s="104"/>
      <c r="C89" s="104"/>
      <c r="D89" s="104"/>
      <c r="E89" s="104"/>
      <c r="F89" s="125"/>
      <c r="G89" s="125"/>
      <c r="H89" s="84"/>
      <c r="I89" s="84"/>
      <c r="J89" s="87" t="n">
        <v>150</v>
      </c>
      <c r="K89" s="88" t="n">
        <f aca="false">I87/1000*J89*(1+$K$8)</f>
        <v>660</v>
      </c>
      <c r="L89" s="89" t="n">
        <v>3</v>
      </c>
      <c r="M89" s="88" t="n">
        <f aca="false">$L$8*L89</f>
        <v>240</v>
      </c>
      <c r="N89" s="88" t="n">
        <f aca="false">SUM(K89:M89)*0.1</f>
        <v>90.3</v>
      </c>
      <c r="O89" s="90" t="n">
        <f aca="false">SUM(K89+M89+N89)</f>
        <v>990.3</v>
      </c>
      <c r="P89" s="91" t="n">
        <v>1000</v>
      </c>
      <c r="Q89" s="92" t="n">
        <v>2400</v>
      </c>
      <c r="R89" s="93" t="n">
        <f aca="false">(Q89-O89)/Q89</f>
        <v>0.587375</v>
      </c>
      <c r="S89" s="102" t="n">
        <f aca="false">Q89/J89*1000</f>
        <v>16000</v>
      </c>
      <c r="T89" s="105"/>
      <c r="U89" s="96"/>
      <c r="V89" s="106"/>
      <c r="W89" s="98" t="n">
        <f aca="false">S89*(1-$W$8)</f>
        <v>16000</v>
      </c>
      <c r="X89" s="98" t="n">
        <f aca="false">S89*(1-$X$8)</f>
        <v>14400</v>
      </c>
      <c r="Y89" s="98" t="n">
        <f aca="false">S89*(1-$Y$8)</f>
        <v>13600</v>
      </c>
      <c r="Z89" s="98" t="n">
        <f aca="false">S89*(1-$Z$8)</f>
        <v>12800</v>
      </c>
      <c r="AA89" s="98" t="n">
        <f aca="false">Q89*(1-$AA$8)</f>
        <v>1920</v>
      </c>
      <c r="AB89" s="93" t="n">
        <f aca="false">(AA89-O89)/AA89</f>
        <v>0.48421875</v>
      </c>
      <c r="AC89" s="104" t="s">
        <v>132</v>
      </c>
      <c r="AD89" s="101" t="n">
        <v>600</v>
      </c>
      <c r="AE89" s="101" t="n">
        <v>300</v>
      </c>
      <c r="AF89" s="101" t="n">
        <v>150</v>
      </c>
      <c r="AG89" s="101" t="n">
        <v>50</v>
      </c>
      <c r="AH89" s="101" t="n">
        <v>100</v>
      </c>
      <c r="AI89" s="101" t="n">
        <v>200</v>
      </c>
    </row>
    <row r="90" customFormat="false" ht="21.75" hidden="false" customHeight="true" outlineLevel="0" collapsed="false">
      <c r="B90" s="104" t="s">
        <v>50</v>
      </c>
      <c r="C90" s="108" t="s">
        <v>151</v>
      </c>
      <c r="D90" s="83" t="s">
        <v>129</v>
      </c>
      <c r="E90" s="84" t="n">
        <v>10</v>
      </c>
      <c r="F90" s="125" t="s">
        <v>146</v>
      </c>
      <c r="G90" s="125"/>
      <c r="H90" s="84" t="n">
        <f aca="false">SUM(E90:G90)</f>
        <v>10</v>
      </c>
      <c r="I90" s="126" t="n">
        <f aca="false">H90*200</f>
        <v>2000</v>
      </c>
      <c r="J90" s="87" t="n">
        <v>5</v>
      </c>
      <c r="K90" s="88" t="n">
        <f aca="false">I90/1000*J90*(1+$K$8)</f>
        <v>11</v>
      </c>
      <c r="L90" s="89" t="n">
        <v>3</v>
      </c>
      <c r="M90" s="88" t="n">
        <f aca="false">$L$8*L90</f>
        <v>240</v>
      </c>
      <c r="N90" s="88" t="n">
        <f aca="false">SUM(K90:M90)*0.1</f>
        <v>25.4</v>
      </c>
      <c r="O90" s="90" t="n">
        <f aca="false">SUM(K90+M90+N90)</f>
        <v>276.4</v>
      </c>
      <c r="P90" s="91" t="n">
        <v>1000</v>
      </c>
      <c r="Q90" s="92" t="n">
        <v>1100</v>
      </c>
      <c r="R90" s="93" t="n">
        <f aca="false">(Q90-O90)/Q90</f>
        <v>0.748727272727273</v>
      </c>
      <c r="S90" s="102" t="n">
        <f aca="false">Q90/J90*1000</f>
        <v>220000</v>
      </c>
      <c r="T90" s="107"/>
      <c r="U90" s="96" t="n">
        <v>48000</v>
      </c>
      <c r="V90" s="97"/>
      <c r="W90" s="98" t="n">
        <f aca="false">S90*(1-$W$8)</f>
        <v>220000</v>
      </c>
      <c r="X90" s="98" t="n">
        <f aca="false">S90*(1-$X$8)</f>
        <v>198000</v>
      </c>
      <c r="Y90" s="98" t="n">
        <f aca="false">S90*(1-$Y$8)</f>
        <v>187000</v>
      </c>
      <c r="Z90" s="98" t="n">
        <f aca="false">S90*(1-$Z$8)</f>
        <v>176000</v>
      </c>
      <c r="AA90" s="98" t="n">
        <f aca="false">Q90*(1-$AA$8)</f>
        <v>880</v>
      </c>
      <c r="AB90" s="93" t="n">
        <f aca="false">(AA90-O90)/AA90</f>
        <v>0.685909090909091</v>
      </c>
      <c r="AC90" s="104" t="s">
        <v>132</v>
      </c>
      <c r="AD90" s="101" t="n">
        <v>200</v>
      </c>
      <c r="AE90" s="101" t="n">
        <v>300</v>
      </c>
      <c r="AF90" s="101" t="n">
        <v>150</v>
      </c>
      <c r="AG90" s="101" t="n">
        <v>50</v>
      </c>
      <c r="AH90" s="101" t="n">
        <v>100</v>
      </c>
      <c r="AI90" s="101" t="n">
        <v>200</v>
      </c>
    </row>
    <row r="91" customFormat="false" ht="21.75" hidden="false" customHeight="true" outlineLevel="0" collapsed="false">
      <c r="B91" s="104"/>
      <c r="C91" s="104"/>
      <c r="D91" s="104"/>
      <c r="E91" s="104"/>
      <c r="F91" s="125"/>
      <c r="G91" s="125"/>
      <c r="H91" s="84"/>
      <c r="I91" s="84"/>
      <c r="J91" s="87" t="n">
        <v>10</v>
      </c>
      <c r="K91" s="88" t="n">
        <f aca="false">I90/1000*J91*(1+$K$8)</f>
        <v>22</v>
      </c>
      <c r="L91" s="89" t="n">
        <v>3</v>
      </c>
      <c r="M91" s="88" t="n">
        <f aca="false">$L$8*L91</f>
        <v>240</v>
      </c>
      <c r="N91" s="88" t="n">
        <f aca="false">SUM(K91:M91)*0.1</f>
        <v>26.5</v>
      </c>
      <c r="O91" s="90" t="n">
        <f aca="false">SUM(K91+M91+N91)</f>
        <v>288.5</v>
      </c>
      <c r="P91" s="91" t="n">
        <v>1000</v>
      </c>
      <c r="Q91" s="92" t="n">
        <v>1300</v>
      </c>
      <c r="R91" s="93" t="n">
        <f aca="false">(Q91-O91)/Q91</f>
        <v>0.778076923076923</v>
      </c>
      <c r="S91" s="102" t="n">
        <f aca="false">Q91/J91*1000</f>
        <v>130000</v>
      </c>
      <c r="T91" s="95"/>
      <c r="U91" s="96"/>
      <c r="V91" s="103"/>
      <c r="W91" s="98" t="n">
        <f aca="false">S91*(1-$W$8)</f>
        <v>130000</v>
      </c>
      <c r="X91" s="98" t="n">
        <f aca="false">S91*(1-$X$8)</f>
        <v>117000</v>
      </c>
      <c r="Y91" s="98" t="n">
        <f aca="false">S91*(1-$Y$8)</f>
        <v>110500</v>
      </c>
      <c r="Z91" s="98" t="n">
        <f aca="false">S91*(1-$Z$8)</f>
        <v>104000</v>
      </c>
      <c r="AA91" s="98" t="n">
        <f aca="false">Q91*(1-$AA$8)</f>
        <v>1040</v>
      </c>
      <c r="AB91" s="93" t="n">
        <f aca="false">(AA91-O91)/AA91</f>
        <v>0.722596153846154</v>
      </c>
      <c r="AC91" s="104" t="s">
        <v>132</v>
      </c>
      <c r="AD91" s="101" t="n">
        <v>200</v>
      </c>
      <c r="AE91" s="101" t="n">
        <v>300</v>
      </c>
      <c r="AF91" s="101" t="n">
        <v>150</v>
      </c>
      <c r="AG91" s="101" t="n">
        <v>50</v>
      </c>
      <c r="AH91" s="101" t="n">
        <v>100</v>
      </c>
      <c r="AI91" s="101" t="n">
        <v>200</v>
      </c>
    </row>
    <row r="92" customFormat="false" ht="21.75" hidden="false" customHeight="true" outlineLevel="0" collapsed="false">
      <c r="B92" s="104"/>
      <c r="C92" s="108"/>
      <c r="D92" s="108"/>
      <c r="E92" s="108"/>
      <c r="F92" s="125"/>
      <c r="G92" s="125"/>
      <c r="H92" s="84"/>
      <c r="I92" s="84"/>
      <c r="J92" s="87" t="n">
        <v>15</v>
      </c>
      <c r="K92" s="88" t="n">
        <f aca="false">I90/1000*J92*(1+$K$8)</f>
        <v>33</v>
      </c>
      <c r="L92" s="89" t="n">
        <v>3</v>
      </c>
      <c r="M92" s="88" t="n">
        <f aca="false">$L$8*L92</f>
        <v>240</v>
      </c>
      <c r="N92" s="88" t="n">
        <f aca="false">SUM(K92:M92)*0.1</f>
        <v>27.6</v>
      </c>
      <c r="O92" s="90" t="n">
        <f aca="false">SUM(K92+M92+N92)</f>
        <v>300.6</v>
      </c>
      <c r="P92" s="91" t="n">
        <v>1000</v>
      </c>
      <c r="Q92" s="92" t="n">
        <v>1500</v>
      </c>
      <c r="R92" s="93" t="n">
        <f aca="false">(Q92-O92)/Q92</f>
        <v>0.7996</v>
      </c>
      <c r="S92" s="102" t="n">
        <f aca="false">Q92/J92*1000</f>
        <v>100000</v>
      </c>
      <c r="T92" s="105"/>
      <c r="U92" s="96"/>
      <c r="V92" s="106"/>
      <c r="W92" s="98" t="n">
        <f aca="false">S92*(1-$W$8)</f>
        <v>100000</v>
      </c>
      <c r="X92" s="98" t="n">
        <f aca="false">S92*(1-$X$8)</f>
        <v>90000</v>
      </c>
      <c r="Y92" s="98" t="n">
        <f aca="false">S92*(1-$Y$8)</f>
        <v>85000</v>
      </c>
      <c r="Z92" s="98" t="n">
        <f aca="false">S92*(1-$Z$8)</f>
        <v>80000</v>
      </c>
      <c r="AA92" s="98" t="n">
        <f aca="false">Q92*(1-$AA$8)</f>
        <v>1200</v>
      </c>
      <c r="AB92" s="93" t="n">
        <f aca="false">(AA92-O92)/AA92</f>
        <v>0.7495</v>
      </c>
      <c r="AC92" s="104" t="s">
        <v>132</v>
      </c>
      <c r="AD92" s="101" t="n">
        <v>200</v>
      </c>
      <c r="AE92" s="101" t="n">
        <v>300</v>
      </c>
      <c r="AF92" s="101" t="n">
        <v>150</v>
      </c>
      <c r="AG92" s="101" t="n">
        <v>50</v>
      </c>
      <c r="AH92" s="101" t="n">
        <v>100</v>
      </c>
      <c r="AI92" s="101" t="n">
        <v>200</v>
      </c>
    </row>
    <row r="93" customFormat="false" ht="21.75" hidden="false" customHeight="true" outlineLevel="0" collapsed="false">
      <c r="B93" s="104"/>
      <c r="C93" s="108" t="s">
        <v>152</v>
      </c>
      <c r="D93" s="83" t="s">
        <v>129</v>
      </c>
      <c r="E93" s="84" t="n">
        <v>20</v>
      </c>
      <c r="F93" s="125" t="s">
        <v>146</v>
      </c>
      <c r="G93" s="125"/>
      <c r="H93" s="84" t="n">
        <f aca="false">SUM(E93:G93)</f>
        <v>20</v>
      </c>
      <c r="I93" s="126" t="n">
        <f aca="false">H93*200</f>
        <v>4000</v>
      </c>
      <c r="J93" s="87" t="n">
        <v>5</v>
      </c>
      <c r="K93" s="88" t="n">
        <f aca="false">I93/1000*J93*(1+$K$8)</f>
        <v>22</v>
      </c>
      <c r="L93" s="89" t="n">
        <v>3</v>
      </c>
      <c r="M93" s="88" t="n">
        <f aca="false">$L$8*L93</f>
        <v>240</v>
      </c>
      <c r="N93" s="88" t="n">
        <f aca="false">SUM(K93:M93)*0.1</f>
        <v>26.5</v>
      </c>
      <c r="O93" s="90" t="n">
        <f aca="false">SUM(K93+M93+N93)</f>
        <v>288.5</v>
      </c>
      <c r="P93" s="91" t="n">
        <v>1000</v>
      </c>
      <c r="Q93" s="92" t="n">
        <v>1200</v>
      </c>
      <c r="R93" s="93" t="n">
        <f aca="false">(Q93-O93)/Q93</f>
        <v>0.759583333333333</v>
      </c>
      <c r="S93" s="102" t="n">
        <f aca="false">Q93/J93*1000</f>
        <v>240000</v>
      </c>
      <c r="T93" s="107"/>
      <c r="U93" s="127" t="n">
        <v>200000</v>
      </c>
      <c r="V93" s="128"/>
      <c r="W93" s="98" t="n">
        <f aca="false">S93*(1-$W$8)</f>
        <v>240000</v>
      </c>
      <c r="X93" s="98" t="n">
        <f aca="false">S93*(1-$X$8)</f>
        <v>216000</v>
      </c>
      <c r="Y93" s="98" t="n">
        <f aca="false">S93*(1-$Y$8)</f>
        <v>204000</v>
      </c>
      <c r="Z93" s="98" t="n">
        <f aca="false">S93*(1-$Z$8)</f>
        <v>192000</v>
      </c>
      <c r="AA93" s="98" t="n">
        <f aca="false">Q93*(1-$AA$8)</f>
        <v>960</v>
      </c>
      <c r="AB93" s="93" t="n">
        <f aca="false">(AA93-O93)/AA93</f>
        <v>0.699479166666667</v>
      </c>
      <c r="AC93" s="104" t="s">
        <v>132</v>
      </c>
      <c r="AD93" s="101" t="n">
        <v>200</v>
      </c>
      <c r="AE93" s="101" t="n">
        <v>300</v>
      </c>
      <c r="AF93" s="101" t="n">
        <v>150</v>
      </c>
      <c r="AG93" s="101" t="n">
        <v>50</v>
      </c>
      <c r="AH93" s="101" t="n">
        <v>100</v>
      </c>
      <c r="AI93" s="101" t="n">
        <v>200</v>
      </c>
    </row>
    <row r="94" customFormat="false" ht="21.75" hidden="false" customHeight="true" outlineLevel="0" collapsed="false">
      <c r="B94" s="104"/>
      <c r="C94" s="104"/>
      <c r="D94" s="104"/>
      <c r="E94" s="104"/>
      <c r="F94" s="125"/>
      <c r="G94" s="125"/>
      <c r="H94" s="84"/>
      <c r="I94" s="84"/>
      <c r="J94" s="87" t="n">
        <v>10</v>
      </c>
      <c r="K94" s="88" t="n">
        <f aca="false">I93/1000*J94*(1+$K$8)</f>
        <v>44</v>
      </c>
      <c r="L94" s="89" t="n">
        <v>3</v>
      </c>
      <c r="M94" s="88" t="n">
        <f aca="false">$L$8*L94</f>
        <v>240</v>
      </c>
      <c r="N94" s="88" t="n">
        <f aca="false">SUM(K94:M94)*0.1</f>
        <v>28.7</v>
      </c>
      <c r="O94" s="90" t="n">
        <f aca="false">SUM(K94+M94+N94)</f>
        <v>312.7</v>
      </c>
      <c r="P94" s="91" t="n">
        <v>1000</v>
      </c>
      <c r="Q94" s="92" t="n">
        <v>1800</v>
      </c>
      <c r="R94" s="93" t="n">
        <f aca="false">(Q94-O94)/Q94</f>
        <v>0.826277777777778</v>
      </c>
      <c r="S94" s="102" t="n">
        <f aca="false">Q94/J94*1000</f>
        <v>180000</v>
      </c>
      <c r="T94" s="95"/>
      <c r="U94" s="127"/>
      <c r="V94" s="129"/>
      <c r="W94" s="98" t="n">
        <f aca="false">S94*(1-$W$8)</f>
        <v>180000</v>
      </c>
      <c r="X94" s="98" t="n">
        <f aca="false">S94*(1-$X$8)</f>
        <v>162000</v>
      </c>
      <c r="Y94" s="98" t="n">
        <f aca="false">S94*(1-$Y$8)</f>
        <v>153000</v>
      </c>
      <c r="Z94" s="98" t="n">
        <f aca="false">S94*(1-$Z$8)</f>
        <v>144000</v>
      </c>
      <c r="AA94" s="98" t="n">
        <f aca="false">Q94*(1-$AA$8)</f>
        <v>1440</v>
      </c>
      <c r="AB94" s="93" t="n">
        <f aca="false">(AA94-O94)/AA94</f>
        <v>0.782847222222222</v>
      </c>
      <c r="AC94" s="104" t="s">
        <v>132</v>
      </c>
      <c r="AD94" s="101" t="n">
        <v>200</v>
      </c>
      <c r="AE94" s="101" t="n">
        <v>300</v>
      </c>
      <c r="AF94" s="101" t="n">
        <v>150</v>
      </c>
      <c r="AG94" s="101" t="n">
        <v>50</v>
      </c>
      <c r="AH94" s="101" t="n">
        <v>100</v>
      </c>
      <c r="AI94" s="101" t="n">
        <v>200</v>
      </c>
    </row>
    <row r="95" customFormat="false" ht="21.75" hidden="false" customHeight="true" outlineLevel="0" collapsed="false">
      <c r="B95" s="104"/>
      <c r="C95" s="104"/>
      <c r="D95" s="104"/>
      <c r="E95" s="104"/>
      <c r="F95" s="125"/>
      <c r="G95" s="125"/>
      <c r="H95" s="84"/>
      <c r="I95" s="84"/>
      <c r="J95" s="87" t="n">
        <v>15</v>
      </c>
      <c r="K95" s="88" t="n">
        <f aca="false">I93/1000*J95*(1+$K$8)</f>
        <v>66</v>
      </c>
      <c r="L95" s="89" t="n">
        <v>3</v>
      </c>
      <c r="M95" s="88" t="n">
        <f aca="false">$L$8*L95</f>
        <v>240</v>
      </c>
      <c r="N95" s="88" t="n">
        <f aca="false">SUM(K95:M95)*0.1</f>
        <v>30.9</v>
      </c>
      <c r="O95" s="90" t="n">
        <f aca="false">SUM(K95+M95+N95)</f>
        <v>336.9</v>
      </c>
      <c r="P95" s="91" t="n">
        <v>1000</v>
      </c>
      <c r="Q95" s="92" t="n">
        <v>2400</v>
      </c>
      <c r="R95" s="93" t="n">
        <f aca="false">(Q95-O95)/Q95</f>
        <v>0.859625</v>
      </c>
      <c r="S95" s="102" t="n">
        <f aca="false">Q95/J95*1000</f>
        <v>160000</v>
      </c>
      <c r="T95" s="95"/>
      <c r="U95" s="127"/>
      <c r="V95" s="129"/>
      <c r="W95" s="98" t="n">
        <f aca="false">S95*(1-$W$8)</f>
        <v>160000</v>
      </c>
      <c r="X95" s="98" t="n">
        <f aca="false">S95*(1-$X$8)</f>
        <v>144000</v>
      </c>
      <c r="Y95" s="98" t="n">
        <f aca="false">S95*(1-$Y$8)</f>
        <v>136000</v>
      </c>
      <c r="Z95" s="98" t="n">
        <f aca="false">S95*(1-$Z$8)</f>
        <v>128000</v>
      </c>
      <c r="AA95" s="98" t="n">
        <f aca="false">Q95*(1-$AA$8)</f>
        <v>1920</v>
      </c>
      <c r="AB95" s="93" t="n">
        <f aca="false">(AA95-O95)/AA95</f>
        <v>0.82453125</v>
      </c>
      <c r="AC95" s="104" t="s">
        <v>132</v>
      </c>
      <c r="AD95" s="101" t="n">
        <v>200</v>
      </c>
      <c r="AE95" s="101" t="n">
        <v>300</v>
      </c>
      <c r="AF95" s="101" t="n">
        <v>150</v>
      </c>
      <c r="AG95" s="101" t="n">
        <v>50</v>
      </c>
      <c r="AH95" s="101" t="n">
        <v>100</v>
      </c>
      <c r="AI95" s="101" t="n">
        <v>200</v>
      </c>
    </row>
    <row r="96" customFormat="false" ht="21.75" hidden="false" customHeight="true" outlineLevel="0" collapsed="false">
      <c r="B96" s="104"/>
      <c r="C96" s="104"/>
      <c r="D96" s="104"/>
      <c r="E96" s="104"/>
      <c r="F96" s="125"/>
      <c r="G96" s="125"/>
      <c r="H96" s="84"/>
      <c r="I96" s="84"/>
      <c r="J96" s="87" t="n">
        <v>20</v>
      </c>
      <c r="K96" s="88" t="n">
        <f aca="false">I93/1000*J96*(1+$K$8)</f>
        <v>88</v>
      </c>
      <c r="L96" s="89" t="n">
        <v>3</v>
      </c>
      <c r="M96" s="88" t="n">
        <f aca="false">$L$8*L96</f>
        <v>240</v>
      </c>
      <c r="N96" s="88" t="n">
        <f aca="false">SUM(K96:M96)*0.1</f>
        <v>33.1</v>
      </c>
      <c r="O96" s="90" t="n">
        <f aca="false">SUM(K96+M96+N96)</f>
        <v>361.1</v>
      </c>
      <c r="P96" s="91" t="n">
        <v>1000</v>
      </c>
      <c r="Q96" s="92" t="n">
        <v>3000</v>
      </c>
      <c r="R96" s="93" t="n">
        <f aca="false">(Q96-O96)/Q96</f>
        <v>0.879633333333333</v>
      </c>
      <c r="S96" s="102" t="n">
        <f aca="false">Q96/J96*1000</f>
        <v>150000</v>
      </c>
      <c r="T96" s="95"/>
      <c r="U96" s="127"/>
      <c r="V96" s="129"/>
      <c r="W96" s="98" t="n">
        <f aca="false">S96*(1-$W$8)</f>
        <v>150000</v>
      </c>
      <c r="X96" s="98" t="n">
        <f aca="false">S96*(1-$X$8)</f>
        <v>135000</v>
      </c>
      <c r="Y96" s="98" t="n">
        <f aca="false">S96*(1-$Y$8)</f>
        <v>127500</v>
      </c>
      <c r="Z96" s="98" t="n">
        <f aca="false">S96*(1-$Z$8)</f>
        <v>120000</v>
      </c>
      <c r="AA96" s="98" t="n">
        <f aca="false">Q96*(1-$AA$8)</f>
        <v>2400</v>
      </c>
      <c r="AB96" s="93" t="n">
        <f aca="false">(AA96-O96)/AA96</f>
        <v>0.849541666666667</v>
      </c>
      <c r="AC96" s="104" t="s">
        <v>132</v>
      </c>
      <c r="AD96" s="101" t="n">
        <v>200</v>
      </c>
      <c r="AE96" s="101" t="n">
        <v>300</v>
      </c>
      <c r="AF96" s="101" t="n">
        <v>150</v>
      </c>
      <c r="AG96" s="101" t="n">
        <v>50</v>
      </c>
      <c r="AH96" s="101" t="n">
        <v>100</v>
      </c>
      <c r="AI96" s="101" t="n">
        <v>200</v>
      </c>
    </row>
    <row r="97" customFormat="false" ht="21.75" hidden="false" customHeight="true" outlineLevel="0" collapsed="false">
      <c r="B97" s="104"/>
      <c r="C97" s="104"/>
      <c r="D97" s="104"/>
      <c r="E97" s="104"/>
      <c r="F97" s="125"/>
      <c r="G97" s="125"/>
      <c r="H97" s="84"/>
      <c r="I97" s="84"/>
      <c r="J97" s="87" t="n">
        <v>30</v>
      </c>
      <c r="K97" s="88" t="n">
        <f aca="false">I93/1000*J97*(1+$K$8)</f>
        <v>132</v>
      </c>
      <c r="L97" s="89" t="n">
        <v>3</v>
      </c>
      <c r="M97" s="88" t="n">
        <f aca="false">$L$8*L97</f>
        <v>240</v>
      </c>
      <c r="N97" s="88" t="n">
        <f aca="false">SUM(K97:M97)*0.1</f>
        <v>37.5</v>
      </c>
      <c r="O97" s="90" t="n">
        <f aca="false">SUM(K97+M97+N97)</f>
        <v>409.5</v>
      </c>
      <c r="P97" s="91" t="n">
        <v>1000</v>
      </c>
      <c r="Q97" s="92" t="n">
        <v>4000</v>
      </c>
      <c r="R97" s="93" t="n">
        <f aca="false">(Q97-O97)/Q97</f>
        <v>0.897625</v>
      </c>
      <c r="S97" s="102" t="n">
        <f aca="false">Q97/J97*1000</f>
        <v>133333.333333333</v>
      </c>
      <c r="T97" s="105"/>
      <c r="U97" s="127"/>
      <c r="V97" s="130"/>
      <c r="W97" s="98" t="n">
        <f aca="false">S97*(1-$W$8)</f>
        <v>133333.333333333</v>
      </c>
      <c r="X97" s="98" t="n">
        <f aca="false">S97*(1-$X$8)</f>
        <v>120000</v>
      </c>
      <c r="Y97" s="98" t="n">
        <f aca="false">S97*(1-$Y$8)</f>
        <v>113333.333333333</v>
      </c>
      <c r="Z97" s="98" t="n">
        <f aca="false">S97*(1-$Z$8)</f>
        <v>106666.666666667</v>
      </c>
      <c r="AA97" s="98" t="n">
        <f aca="false">Q97*(1-$AA$8)</f>
        <v>3200</v>
      </c>
      <c r="AB97" s="93" t="n">
        <f aca="false">(AA97-O97)/AA97</f>
        <v>0.87203125</v>
      </c>
      <c r="AC97" s="104" t="s">
        <v>132</v>
      </c>
      <c r="AD97" s="101" t="n">
        <v>200</v>
      </c>
      <c r="AE97" s="101" t="n">
        <v>300</v>
      </c>
      <c r="AF97" s="101" t="n">
        <v>150</v>
      </c>
      <c r="AG97" s="101" t="n">
        <v>50</v>
      </c>
      <c r="AH97" s="101" t="n">
        <v>100</v>
      </c>
      <c r="AI97" s="101" t="n">
        <v>200</v>
      </c>
    </row>
    <row r="98" customFormat="false" ht="21.75" hidden="false" customHeight="true" outlineLevel="0" collapsed="false">
      <c r="B98" s="104" t="s">
        <v>53</v>
      </c>
      <c r="C98" s="133" t="s">
        <v>54</v>
      </c>
      <c r="D98" s="87" t="s">
        <v>129</v>
      </c>
      <c r="E98" s="85" t="n">
        <v>20</v>
      </c>
      <c r="F98" s="134" t="s">
        <v>146</v>
      </c>
      <c r="G98" s="134"/>
      <c r="H98" s="85" t="n">
        <f aca="false">SUM(E98:G98)</f>
        <v>20</v>
      </c>
      <c r="I98" s="86" t="n">
        <f aca="false">H98*200</f>
        <v>4000</v>
      </c>
      <c r="J98" s="87" t="n">
        <v>5</v>
      </c>
      <c r="K98" s="88" t="n">
        <f aca="false">I98/1000*J98*(1+$K$8)</f>
        <v>22</v>
      </c>
      <c r="L98" s="89" t="n">
        <v>3</v>
      </c>
      <c r="M98" s="88" t="n">
        <f aca="false">$L$8*L98</f>
        <v>240</v>
      </c>
      <c r="N98" s="88" t="n">
        <f aca="false">SUM(K98:M98)*0.1</f>
        <v>26.5</v>
      </c>
      <c r="O98" s="90" t="n">
        <f aca="false">SUM(K98+M98+N98)</f>
        <v>288.5</v>
      </c>
      <c r="P98" s="91" t="n">
        <v>1000</v>
      </c>
      <c r="Q98" s="92" t="n">
        <v>1200</v>
      </c>
      <c r="R98" s="93" t="n">
        <f aca="false">(Q98-O98)/Q98</f>
        <v>0.759583333333333</v>
      </c>
      <c r="S98" s="102" t="n">
        <f aca="false">Q98/J98*1000</f>
        <v>240000</v>
      </c>
      <c r="T98" s="107"/>
      <c r="U98" s="127" t="n">
        <v>200000</v>
      </c>
      <c r="V98" s="128"/>
      <c r="W98" s="98" t="n">
        <f aca="false">S98*(1-$W$8)</f>
        <v>240000</v>
      </c>
      <c r="X98" s="98" t="n">
        <f aca="false">S98*(1-$X$8)</f>
        <v>216000</v>
      </c>
      <c r="Y98" s="98" t="n">
        <f aca="false">S98*(1-$Y$8)</f>
        <v>204000</v>
      </c>
      <c r="Z98" s="98" t="n">
        <f aca="false">S98*(1-$Z$8)</f>
        <v>192000</v>
      </c>
      <c r="AA98" s="98" t="n">
        <f aca="false">Q98*(1-$AA$8)</f>
        <v>960</v>
      </c>
      <c r="AB98" s="93" t="n">
        <f aca="false">(AA98-O98)/AA98</f>
        <v>0.699479166666667</v>
      </c>
      <c r="AC98" s="104" t="s">
        <v>132</v>
      </c>
      <c r="AD98" s="101" t="n">
        <v>200</v>
      </c>
      <c r="AE98" s="101" t="n">
        <v>300</v>
      </c>
      <c r="AF98" s="101" t="n">
        <v>150</v>
      </c>
      <c r="AG98" s="101" t="n">
        <v>50</v>
      </c>
      <c r="AH98" s="101" t="n">
        <v>100</v>
      </c>
      <c r="AI98" s="101" t="n">
        <v>200</v>
      </c>
    </row>
    <row r="99" customFormat="false" ht="21.75" hidden="false" customHeight="true" outlineLevel="0" collapsed="false">
      <c r="B99" s="104"/>
      <c r="C99" s="104"/>
      <c r="D99" s="104"/>
      <c r="E99" s="104"/>
      <c r="F99" s="134"/>
      <c r="G99" s="134"/>
      <c r="H99" s="85"/>
      <c r="I99" s="85"/>
      <c r="J99" s="87" t="n">
        <v>10</v>
      </c>
      <c r="K99" s="88" t="n">
        <f aca="false">I98/1000*J99*(1+$K$8)</f>
        <v>44</v>
      </c>
      <c r="L99" s="89" t="n">
        <v>3</v>
      </c>
      <c r="M99" s="88" t="n">
        <f aca="false">$L$8*L99</f>
        <v>240</v>
      </c>
      <c r="N99" s="88" t="n">
        <f aca="false">SUM(K99:M99)*0.1</f>
        <v>28.7</v>
      </c>
      <c r="O99" s="90" t="n">
        <f aca="false">SUM(K99+M99+N99)</f>
        <v>312.7</v>
      </c>
      <c r="P99" s="91" t="n">
        <v>1000</v>
      </c>
      <c r="Q99" s="92" t="n">
        <v>1800</v>
      </c>
      <c r="R99" s="93" t="n">
        <f aca="false">(Q99-O99)/Q99</f>
        <v>0.826277777777778</v>
      </c>
      <c r="S99" s="102" t="n">
        <f aca="false">Q99/J99*1000</f>
        <v>180000</v>
      </c>
      <c r="T99" s="95"/>
      <c r="U99" s="127"/>
      <c r="V99" s="129"/>
      <c r="W99" s="98" t="n">
        <f aca="false">S99*(1-$W$8)</f>
        <v>180000</v>
      </c>
      <c r="X99" s="98" t="n">
        <f aca="false">S99*(1-$X$8)</f>
        <v>162000</v>
      </c>
      <c r="Y99" s="98" t="n">
        <f aca="false">S99*(1-$Y$8)</f>
        <v>153000</v>
      </c>
      <c r="Z99" s="98" t="n">
        <f aca="false">S99*(1-$Z$8)</f>
        <v>144000</v>
      </c>
      <c r="AA99" s="98" t="n">
        <f aca="false">Q99*(1-$AA$8)</f>
        <v>1440</v>
      </c>
      <c r="AB99" s="93" t="n">
        <f aca="false">(AA99-O99)/AA99</f>
        <v>0.782847222222222</v>
      </c>
      <c r="AC99" s="104" t="s">
        <v>132</v>
      </c>
      <c r="AD99" s="101" t="n">
        <v>200</v>
      </c>
      <c r="AE99" s="101" t="n">
        <v>300</v>
      </c>
      <c r="AF99" s="101" t="n">
        <v>150</v>
      </c>
      <c r="AG99" s="101" t="n">
        <v>50</v>
      </c>
      <c r="AH99" s="101" t="n">
        <v>100</v>
      </c>
      <c r="AI99" s="101" t="n">
        <v>200</v>
      </c>
    </row>
    <row r="100" customFormat="false" ht="21.75" hidden="false" customHeight="true" outlineLevel="0" collapsed="false">
      <c r="B100" s="104"/>
      <c r="C100" s="104"/>
      <c r="D100" s="104"/>
      <c r="E100" s="104"/>
      <c r="F100" s="134"/>
      <c r="G100" s="134"/>
      <c r="H100" s="85"/>
      <c r="I100" s="85"/>
      <c r="J100" s="87" t="n">
        <v>15</v>
      </c>
      <c r="K100" s="88" t="n">
        <f aca="false">I98/1000*J100*(1+$K$8)</f>
        <v>66</v>
      </c>
      <c r="L100" s="89" t="n">
        <v>3</v>
      </c>
      <c r="M100" s="88" t="n">
        <f aca="false">$L$8*L100</f>
        <v>240</v>
      </c>
      <c r="N100" s="88" t="n">
        <f aca="false">SUM(K100:M100)*0.1</f>
        <v>30.9</v>
      </c>
      <c r="O100" s="90" t="n">
        <f aca="false">SUM(K100+M100+N100)</f>
        <v>336.9</v>
      </c>
      <c r="P100" s="91" t="n">
        <v>1000</v>
      </c>
      <c r="Q100" s="92" t="n">
        <v>2400</v>
      </c>
      <c r="R100" s="93" t="n">
        <f aca="false">(Q100-O100)/Q100</f>
        <v>0.859625</v>
      </c>
      <c r="S100" s="102" t="n">
        <f aca="false">Q100/J100*1000</f>
        <v>160000</v>
      </c>
      <c r="T100" s="95"/>
      <c r="U100" s="127"/>
      <c r="V100" s="129"/>
      <c r="W100" s="98" t="n">
        <f aca="false">S100*(1-$W$8)</f>
        <v>160000</v>
      </c>
      <c r="X100" s="98" t="n">
        <f aca="false">S100*(1-$X$8)</f>
        <v>144000</v>
      </c>
      <c r="Y100" s="98" t="n">
        <f aca="false">S100*(1-$Y$8)</f>
        <v>136000</v>
      </c>
      <c r="Z100" s="98" t="n">
        <f aca="false">S100*(1-$Z$8)</f>
        <v>128000</v>
      </c>
      <c r="AA100" s="98" t="n">
        <f aca="false">Q100*(1-$AA$8)</f>
        <v>1920</v>
      </c>
      <c r="AB100" s="93" t="n">
        <f aca="false">(AA100-O100)/AA100</f>
        <v>0.82453125</v>
      </c>
      <c r="AC100" s="104" t="s">
        <v>132</v>
      </c>
      <c r="AD100" s="101" t="n">
        <v>200</v>
      </c>
      <c r="AE100" s="101" t="n">
        <v>300</v>
      </c>
      <c r="AF100" s="101" t="n">
        <v>150</v>
      </c>
      <c r="AG100" s="101" t="n">
        <v>50</v>
      </c>
      <c r="AH100" s="101" t="n">
        <v>100</v>
      </c>
      <c r="AI100" s="101" t="n">
        <v>200</v>
      </c>
    </row>
    <row r="101" customFormat="false" ht="21.75" hidden="false" customHeight="true" outlineLevel="0" collapsed="false">
      <c r="B101" s="104"/>
      <c r="C101" s="104"/>
      <c r="D101" s="104"/>
      <c r="E101" s="104"/>
      <c r="F101" s="134"/>
      <c r="G101" s="134"/>
      <c r="H101" s="85"/>
      <c r="I101" s="85"/>
      <c r="J101" s="87" t="n">
        <v>20</v>
      </c>
      <c r="K101" s="88" t="n">
        <f aca="false">I98/1000*J101*(1+$K$8)</f>
        <v>88</v>
      </c>
      <c r="L101" s="89" t="n">
        <v>3</v>
      </c>
      <c r="M101" s="88" t="n">
        <f aca="false">$L$8*L101</f>
        <v>240</v>
      </c>
      <c r="N101" s="88" t="n">
        <f aca="false">SUM(K101:M101)*0.1</f>
        <v>33.1</v>
      </c>
      <c r="O101" s="90" t="n">
        <f aca="false">SUM(K101+M101+N101)</f>
        <v>361.1</v>
      </c>
      <c r="P101" s="91" t="n">
        <v>1000</v>
      </c>
      <c r="Q101" s="92" t="n">
        <v>3000</v>
      </c>
      <c r="R101" s="93" t="n">
        <f aca="false">(Q101-O101)/Q101</f>
        <v>0.879633333333333</v>
      </c>
      <c r="S101" s="102" t="n">
        <f aca="false">Q101/J101*1000</f>
        <v>150000</v>
      </c>
      <c r="T101" s="95"/>
      <c r="U101" s="127"/>
      <c r="V101" s="129"/>
      <c r="W101" s="98" t="n">
        <f aca="false">S101*(1-$W$8)</f>
        <v>150000</v>
      </c>
      <c r="X101" s="98" t="n">
        <f aca="false">S101*(1-$X$8)</f>
        <v>135000</v>
      </c>
      <c r="Y101" s="98" t="n">
        <f aca="false">S101*(1-$Y$8)</f>
        <v>127500</v>
      </c>
      <c r="Z101" s="98" t="n">
        <f aca="false">S101*(1-$Z$8)</f>
        <v>120000</v>
      </c>
      <c r="AA101" s="98" t="n">
        <f aca="false">Q101*(1-$AA$8)</f>
        <v>2400</v>
      </c>
      <c r="AB101" s="93" t="n">
        <f aca="false">(AA101-O101)/AA101</f>
        <v>0.849541666666667</v>
      </c>
      <c r="AC101" s="104" t="s">
        <v>132</v>
      </c>
      <c r="AD101" s="101" t="n">
        <v>200</v>
      </c>
      <c r="AE101" s="101" t="n">
        <v>300</v>
      </c>
      <c r="AF101" s="101" t="n">
        <v>150</v>
      </c>
      <c r="AG101" s="101" t="n">
        <v>50</v>
      </c>
      <c r="AH101" s="101" t="n">
        <v>100</v>
      </c>
      <c r="AI101" s="101" t="n">
        <v>200</v>
      </c>
    </row>
    <row r="102" customFormat="false" ht="21.75" hidden="false" customHeight="true" outlineLevel="0" collapsed="false">
      <c r="B102" s="104"/>
      <c r="C102" s="104"/>
      <c r="D102" s="104"/>
      <c r="E102" s="104"/>
      <c r="F102" s="134"/>
      <c r="G102" s="134"/>
      <c r="H102" s="85"/>
      <c r="I102" s="85"/>
      <c r="J102" s="87" t="n">
        <v>30</v>
      </c>
      <c r="K102" s="88" t="n">
        <f aca="false">I98/1000*J102*(1+$K$8)</f>
        <v>132</v>
      </c>
      <c r="L102" s="89" t="n">
        <v>3</v>
      </c>
      <c r="M102" s="88" t="n">
        <f aca="false">$L$8*L102</f>
        <v>240</v>
      </c>
      <c r="N102" s="88" t="n">
        <f aca="false">SUM(K102:M102)*0.1</f>
        <v>37.5</v>
      </c>
      <c r="O102" s="90" t="n">
        <f aca="false">SUM(K102+M102+N102)</f>
        <v>409.5</v>
      </c>
      <c r="P102" s="91" t="n">
        <v>1000</v>
      </c>
      <c r="Q102" s="92" t="n">
        <v>4000</v>
      </c>
      <c r="R102" s="93" t="n">
        <f aca="false">(Q102-O102)/Q102</f>
        <v>0.897625</v>
      </c>
      <c r="S102" s="102" t="n">
        <f aca="false">Q102/J102*1000</f>
        <v>133333.333333333</v>
      </c>
      <c r="T102" s="105"/>
      <c r="U102" s="127"/>
      <c r="V102" s="130"/>
      <c r="W102" s="98" t="n">
        <f aca="false">S102*(1-$W$8)</f>
        <v>133333.333333333</v>
      </c>
      <c r="X102" s="98" t="n">
        <f aca="false">S102*(1-$X$8)</f>
        <v>120000</v>
      </c>
      <c r="Y102" s="98" t="n">
        <f aca="false">S102*(1-$Y$8)</f>
        <v>113333.333333333</v>
      </c>
      <c r="Z102" s="98" t="n">
        <f aca="false">S102*(1-$Z$8)</f>
        <v>106666.666666667</v>
      </c>
      <c r="AA102" s="98" t="n">
        <f aca="false">Q102*(1-$AA$8)</f>
        <v>3200</v>
      </c>
      <c r="AB102" s="93" t="n">
        <f aca="false">(AA102-O102)/AA102</f>
        <v>0.87203125</v>
      </c>
      <c r="AC102" s="104" t="s">
        <v>132</v>
      </c>
      <c r="AD102" s="101" t="n">
        <v>200</v>
      </c>
      <c r="AE102" s="101" t="n">
        <v>300</v>
      </c>
      <c r="AF102" s="101" t="n">
        <v>150</v>
      </c>
      <c r="AG102" s="101" t="n">
        <v>50</v>
      </c>
      <c r="AH102" s="101" t="n">
        <v>100</v>
      </c>
      <c r="AI102" s="101" t="n">
        <v>200</v>
      </c>
    </row>
    <row r="103" customFormat="false" ht="21.75" hidden="false" customHeight="true" outlineLevel="0" collapsed="false">
      <c r="C103" s="135"/>
      <c r="D103" s="47"/>
      <c r="E103" s="112"/>
      <c r="F103" s="112"/>
      <c r="G103" s="112"/>
      <c r="H103" s="112"/>
      <c r="I103" s="113"/>
      <c r="K103" s="55"/>
      <c r="L103" s="114"/>
      <c r="M103" s="55"/>
      <c r="N103" s="55"/>
      <c r="O103" s="115"/>
      <c r="Q103" s="115"/>
      <c r="R103" s="116"/>
      <c r="S103" s="117"/>
      <c r="T103" s="117"/>
      <c r="U103" s="132"/>
      <c r="V103" s="132"/>
      <c r="W103" s="117"/>
      <c r="X103" s="117"/>
      <c r="Y103" s="117"/>
      <c r="Z103" s="117"/>
      <c r="AA103" s="117"/>
      <c r="AB103" s="116"/>
      <c r="AD103" s="119"/>
      <c r="AE103" s="119"/>
      <c r="AF103" s="119"/>
      <c r="AG103" s="119"/>
      <c r="AH103" s="119"/>
      <c r="AI103" s="119"/>
    </row>
    <row r="104" customFormat="false" ht="21.75" hidden="false" customHeight="true" outlineLevel="0" collapsed="false">
      <c r="C104" s="135"/>
      <c r="D104" s="47"/>
      <c r="E104" s="112"/>
      <c r="F104" s="112"/>
      <c r="G104" s="112"/>
      <c r="H104" s="112"/>
      <c r="I104" s="113"/>
      <c r="K104" s="55"/>
      <c r="L104" s="114"/>
      <c r="M104" s="55"/>
      <c r="N104" s="55"/>
      <c r="O104" s="115"/>
      <c r="Q104" s="115"/>
      <c r="R104" s="116"/>
      <c r="S104" s="117"/>
      <c r="T104" s="117"/>
      <c r="U104" s="132"/>
      <c r="V104" s="132"/>
      <c r="W104" s="117"/>
      <c r="X104" s="117"/>
      <c r="Y104" s="117"/>
      <c r="Z104" s="117"/>
      <c r="AA104" s="117"/>
      <c r="AB104" s="116"/>
      <c r="AD104" s="119"/>
      <c r="AE104" s="119"/>
      <c r="AF104" s="119"/>
      <c r="AG104" s="119"/>
      <c r="AH104" s="119"/>
      <c r="AI104" s="119"/>
    </row>
    <row r="105" customFormat="false" ht="21.75" hidden="false" customHeight="true" outlineLevel="0" collapsed="false">
      <c r="C105" s="135"/>
      <c r="D105" s="47"/>
      <c r="E105" s="112"/>
      <c r="F105" s="112"/>
      <c r="G105" s="112"/>
      <c r="H105" s="112"/>
      <c r="I105" s="113"/>
      <c r="K105" s="55"/>
      <c r="L105" s="114"/>
      <c r="M105" s="55"/>
      <c r="N105" s="55"/>
      <c r="O105" s="115"/>
      <c r="Q105" s="115"/>
      <c r="R105" s="116"/>
      <c r="S105" s="117"/>
      <c r="T105" s="117"/>
      <c r="U105" s="132"/>
      <c r="V105" s="132"/>
      <c r="W105" s="117"/>
      <c r="X105" s="117"/>
      <c r="Y105" s="117"/>
      <c r="Z105" s="117"/>
      <c r="AA105" s="117"/>
      <c r="AB105" s="116"/>
      <c r="AD105" s="119"/>
      <c r="AE105" s="119"/>
      <c r="AF105" s="119"/>
      <c r="AG105" s="119"/>
      <c r="AH105" s="119"/>
      <c r="AI105" s="119"/>
    </row>
    <row r="106" customFormat="false" ht="21.75" hidden="false" customHeight="true" outlineLevel="0" collapsed="false">
      <c r="C106" s="135"/>
      <c r="D106" s="47"/>
      <c r="E106" s="112"/>
      <c r="F106" s="112"/>
      <c r="G106" s="112"/>
      <c r="H106" s="112"/>
      <c r="I106" s="113"/>
      <c r="K106" s="55"/>
      <c r="L106" s="114"/>
      <c r="M106" s="55"/>
      <c r="N106" s="55"/>
      <c r="O106" s="115"/>
      <c r="Q106" s="115"/>
      <c r="R106" s="116"/>
      <c r="S106" s="117"/>
      <c r="T106" s="117"/>
      <c r="U106" s="132"/>
      <c r="V106" s="132"/>
      <c r="W106" s="117"/>
      <c r="X106" s="117"/>
      <c r="Y106" s="117"/>
      <c r="Z106" s="117"/>
      <c r="AA106" s="117"/>
      <c r="AB106" s="116"/>
      <c r="AD106" s="119"/>
      <c r="AE106" s="119"/>
      <c r="AF106" s="119"/>
      <c r="AG106" s="119"/>
      <c r="AH106" s="119"/>
      <c r="AI106" s="119"/>
    </row>
    <row r="107" customFormat="false" ht="34.5" hidden="false" customHeight="true" outlineLevel="0" collapsed="false">
      <c r="B107" s="51" t="s">
        <v>153</v>
      </c>
      <c r="C107" s="54"/>
      <c r="D107" s="54"/>
      <c r="E107" s="54"/>
      <c r="F107" s="54"/>
      <c r="K107" s="55"/>
    </row>
    <row r="108" customFormat="false" ht="21.75" hidden="false" customHeight="true" outlineLevel="0" collapsed="false">
      <c r="K108" s="56"/>
      <c r="M108" s="47" t="s">
        <v>89</v>
      </c>
      <c r="Q108" s="57" t="s">
        <v>90</v>
      </c>
      <c r="U108" s="57" t="s">
        <v>91</v>
      </c>
      <c r="V108" s="47"/>
      <c r="W108" s="58" t="s">
        <v>92</v>
      </c>
      <c r="X108" s="58"/>
      <c r="Y108" s="58"/>
      <c r="Z108" s="58"/>
      <c r="AA108" s="59"/>
      <c r="AB108" s="59"/>
      <c r="AD108" s="60" t="s">
        <v>93</v>
      </c>
      <c r="AE108" s="60"/>
      <c r="AF108" s="60"/>
      <c r="AG108" s="60"/>
      <c r="AH108" s="60"/>
      <c r="AI108" s="60"/>
    </row>
    <row r="109" customFormat="false" ht="21.75" hidden="false" customHeight="true" outlineLevel="0" collapsed="false">
      <c r="B109" s="61" t="s">
        <v>94</v>
      </c>
      <c r="C109" s="61" t="s">
        <v>8</v>
      </c>
      <c r="D109" s="61" t="s">
        <v>95</v>
      </c>
      <c r="E109" s="62" t="s">
        <v>96</v>
      </c>
      <c r="F109" s="62" t="s">
        <v>97</v>
      </c>
      <c r="G109" s="62" t="s">
        <v>98</v>
      </c>
      <c r="H109" s="62" t="s">
        <v>99</v>
      </c>
      <c r="I109" s="62" t="s">
        <v>100</v>
      </c>
      <c r="J109" s="63" t="s">
        <v>101</v>
      </c>
      <c r="K109" s="64" t="s">
        <v>102</v>
      </c>
      <c r="L109" s="64" t="s">
        <v>103</v>
      </c>
      <c r="M109" s="64" t="s">
        <v>104</v>
      </c>
      <c r="N109" s="63" t="s">
        <v>105</v>
      </c>
      <c r="O109" s="64" t="s">
        <v>106</v>
      </c>
      <c r="P109" s="65" t="s">
        <v>107</v>
      </c>
      <c r="Q109" s="66" t="s">
        <v>108</v>
      </c>
      <c r="R109" s="67" t="s">
        <v>14</v>
      </c>
      <c r="S109" s="68" t="s">
        <v>109</v>
      </c>
      <c r="T109" s="69" t="s">
        <v>110</v>
      </c>
      <c r="U109" s="70" t="s">
        <v>111</v>
      </c>
      <c r="V109" s="71"/>
      <c r="W109" s="72" t="s">
        <v>112</v>
      </c>
      <c r="X109" s="72" t="s">
        <v>113</v>
      </c>
      <c r="Y109" s="72" t="s">
        <v>114</v>
      </c>
      <c r="Z109" s="72" t="s">
        <v>115</v>
      </c>
      <c r="AA109" s="72" t="s">
        <v>115</v>
      </c>
      <c r="AB109" s="62" t="s">
        <v>116</v>
      </c>
      <c r="AC109" s="62" t="s">
        <v>117</v>
      </c>
      <c r="AD109" s="60" t="s">
        <v>4</v>
      </c>
      <c r="AE109" s="60" t="s">
        <v>21</v>
      </c>
      <c r="AF109" s="60" t="s">
        <v>22</v>
      </c>
      <c r="AG109" s="60" t="s">
        <v>118</v>
      </c>
      <c r="AH109" s="60" t="s">
        <v>119</v>
      </c>
      <c r="AI109" s="60" t="s">
        <v>25</v>
      </c>
    </row>
    <row r="110" customFormat="false" ht="21.75" hidden="false" customHeight="true" outlineLevel="0" collapsed="false">
      <c r="B110" s="61"/>
      <c r="C110" s="61"/>
      <c r="D110" s="61"/>
      <c r="E110" s="61"/>
      <c r="F110" s="61"/>
      <c r="G110" s="62"/>
      <c r="H110" s="62"/>
      <c r="I110" s="62"/>
      <c r="J110" s="62"/>
      <c r="K110" s="64" t="s">
        <v>120</v>
      </c>
      <c r="L110" s="64" t="s">
        <v>121</v>
      </c>
      <c r="M110" s="73" t="s">
        <v>122</v>
      </c>
      <c r="N110" s="74" t="s">
        <v>123</v>
      </c>
      <c r="O110" s="74" t="s">
        <v>124</v>
      </c>
      <c r="P110" s="65"/>
      <c r="Q110" s="75" t="s">
        <v>125</v>
      </c>
      <c r="R110" s="76" t="s">
        <v>126</v>
      </c>
      <c r="S110" s="68"/>
      <c r="T110" s="69"/>
      <c r="U110" s="70"/>
      <c r="V110" s="77"/>
      <c r="W110" s="78" t="s">
        <v>127</v>
      </c>
      <c r="X110" s="78" t="s">
        <v>127</v>
      </c>
      <c r="Y110" s="78" t="s">
        <v>127</v>
      </c>
      <c r="Z110" s="78" t="s">
        <v>127</v>
      </c>
      <c r="AA110" s="78" t="s">
        <v>127</v>
      </c>
      <c r="AB110" s="78"/>
      <c r="AC110" s="62"/>
      <c r="AD110" s="62"/>
      <c r="AE110" s="62"/>
      <c r="AF110" s="62"/>
      <c r="AG110" s="62"/>
      <c r="AH110" s="60"/>
      <c r="AI110" s="60"/>
    </row>
    <row r="111" customFormat="false" ht="21.75" hidden="false" customHeight="true" outlineLevel="0" collapsed="false">
      <c r="B111" s="61"/>
      <c r="C111" s="61"/>
      <c r="D111" s="61"/>
      <c r="E111" s="61"/>
      <c r="F111" s="61"/>
      <c r="G111" s="79" t="n">
        <v>0.18</v>
      </c>
      <c r="H111" s="62"/>
      <c r="I111" s="62"/>
      <c r="J111" s="62"/>
      <c r="K111" s="80" t="n">
        <v>0.1</v>
      </c>
      <c r="L111" s="74" t="n">
        <v>80</v>
      </c>
      <c r="M111" s="73"/>
      <c r="N111" s="73"/>
      <c r="O111" s="73"/>
      <c r="P111" s="65"/>
      <c r="Q111" s="75"/>
      <c r="R111" s="76"/>
      <c r="S111" s="68"/>
      <c r="T111" s="69"/>
      <c r="U111" s="70"/>
      <c r="V111" s="81"/>
      <c r="W111" s="79" t="n">
        <v>0</v>
      </c>
      <c r="X111" s="79" t="n">
        <v>0.1</v>
      </c>
      <c r="Y111" s="79" t="n">
        <v>0.15</v>
      </c>
      <c r="Z111" s="79" t="n">
        <v>0.2</v>
      </c>
      <c r="AA111" s="79" t="n">
        <v>0.2</v>
      </c>
      <c r="AB111" s="79"/>
      <c r="AC111" s="62"/>
      <c r="AD111" s="62"/>
      <c r="AE111" s="62"/>
      <c r="AF111" s="62"/>
      <c r="AG111" s="62"/>
      <c r="AH111" s="60"/>
      <c r="AI111" s="60"/>
    </row>
    <row r="112" customFormat="false" ht="21.75" hidden="false" customHeight="true" outlineLevel="0" collapsed="false">
      <c r="B112" s="104" t="s">
        <v>56</v>
      </c>
      <c r="C112" s="83" t="s">
        <v>57</v>
      </c>
      <c r="D112" s="83" t="s">
        <v>129</v>
      </c>
      <c r="E112" s="84" t="n">
        <v>40</v>
      </c>
      <c r="F112" s="84" t="n">
        <v>50</v>
      </c>
      <c r="G112" s="84" t="n">
        <f aca="false">E112*$G$8</f>
        <v>7.2</v>
      </c>
      <c r="H112" s="84" t="n">
        <f aca="false">SUM(E112:G112)</f>
        <v>97.2</v>
      </c>
      <c r="I112" s="126" t="n">
        <f aca="false">H112*200</f>
        <v>19440</v>
      </c>
      <c r="J112" s="87" t="n">
        <v>5</v>
      </c>
      <c r="K112" s="88" t="n">
        <f aca="false">I112/1000*J112*(1+$K$8)</f>
        <v>106.92</v>
      </c>
      <c r="L112" s="89" t="n">
        <v>3</v>
      </c>
      <c r="M112" s="88" t="n">
        <f aca="false">$L$8*L112</f>
        <v>240</v>
      </c>
      <c r="N112" s="88" t="n">
        <f aca="false">SUM(K112:M112)*0.1</f>
        <v>34.992</v>
      </c>
      <c r="O112" s="90" t="n">
        <f aca="false">SUM(K112+M112+N112)</f>
        <v>381.912</v>
      </c>
      <c r="P112" s="91" t="n">
        <v>1000</v>
      </c>
      <c r="Q112" s="92" t="n">
        <v>1200</v>
      </c>
      <c r="R112" s="93" t="n">
        <f aca="false">(Q112-O112)/Q112</f>
        <v>0.68174</v>
      </c>
      <c r="S112" s="102" t="n">
        <f aca="false">Q112/J112*1000</f>
        <v>240000</v>
      </c>
      <c r="T112" s="107"/>
      <c r="U112" s="127" t="n">
        <v>100000</v>
      </c>
      <c r="V112" s="128"/>
      <c r="W112" s="98" t="n">
        <f aca="false">S112*(1-$W$8)</f>
        <v>240000</v>
      </c>
      <c r="X112" s="98" t="n">
        <f aca="false">S112*(1-$X$8)</f>
        <v>216000</v>
      </c>
      <c r="Y112" s="98" t="n">
        <f aca="false">S112*(1-$Y$8)</f>
        <v>204000</v>
      </c>
      <c r="Z112" s="98" t="n">
        <f aca="false">S112*(1-$Z$8)</f>
        <v>192000</v>
      </c>
      <c r="AA112" s="98" t="n">
        <f aca="false">Q112*(1-$AA$8)</f>
        <v>960</v>
      </c>
      <c r="AB112" s="93" t="n">
        <f aca="false">(AA112-O112)/AA112</f>
        <v>0.602175</v>
      </c>
      <c r="AC112" s="104" t="s">
        <v>132</v>
      </c>
      <c r="AD112" s="101" t="n">
        <v>550</v>
      </c>
      <c r="AE112" s="101" t="n">
        <v>300</v>
      </c>
      <c r="AF112" s="101" t="n">
        <v>150</v>
      </c>
      <c r="AG112" s="101" t="n">
        <v>50</v>
      </c>
      <c r="AH112" s="101" t="n">
        <v>100</v>
      </c>
      <c r="AI112" s="101" t="n">
        <v>200</v>
      </c>
    </row>
    <row r="113" customFormat="false" ht="21.75" hidden="false" customHeight="true" outlineLevel="0" collapsed="false">
      <c r="B113" s="104"/>
      <c r="C113" s="83"/>
      <c r="D113" s="83"/>
      <c r="E113" s="83"/>
      <c r="F113" s="83"/>
      <c r="G113" s="83"/>
      <c r="H113" s="83"/>
      <c r="I113" s="83"/>
      <c r="J113" s="87" t="n">
        <v>10</v>
      </c>
      <c r="K113" s="88" t="n">
        <f aca="false">I112/1000*J113*(1+$K$8)</f>
        <v>213.84</v>
      </c>
      <c r="L113" s="89" t="n">
        <v>3</v>
      </c>
      <c r="M113" s="88" t="n">
        <f aca="false">$L$8*L113</f>
        <v>240</v>
      </c>
      <c r="N113" s="88" t="n">
        <f aca="false">SUM(K113:M113)*0.1</f>
        <v>45.684</v>
      </c>
      <c r="O113" s="90" t="n">
        <f aca="false">SUM(K113+M113+N113)</f>
        <v>499.524</v>
      </c>
      <c r="P113" s="91" t="n">
        <v>1000</v>
      </c>
      <c r="Q113" s="92" t="n">
        <v>1500</v>
      </c>
      <c r="R113" s="93" t="n">
        <f aca="false">(Q113-O113)/Q113</f>
        <v>0.666984</v>
      </c>
      <c r="S113" s="102" t="n">
        <f aca="false">Q113/J113*1000</f>
        <v>150000</v>
      </c>
      <c r="T113" s="105"/>
      <c r="U113" s="127"/>
      <c r="V113" s="130"/>
      <c r="W113" s="98" t="n">
        <f aca="false">S113*(1-$W$8)</f>
        <v>150000</v>
      </c>
      <c r="X113" s="98" t="n">
        <f aca="false">S113*(1-$X$8)</f>
        <v>135000</v>
      </c>
      <c r="Y113" s="98" t="n">
        <f aca="false">S113*(1-$Y$8)</f>
        <v>127500</v>
      </c>
      <c r="Z113" s="98" t="n">
        <f aca="false">S113*(1-$Z$8)</f>
        <v>120000</v>
      </c>
      <c r="AA113" s="98" t="n">
        <f aca="false">Q113*(1-$AA$8)</f>
        <v>1200</v>
      </c>
      <c r="AB113" s="93" t="n">
        <f aca="false">(AA113-O113)/AA113</f>
        <v>0.58373</v>
      </c>
      <c r="AC113" s="104" t="s">
        <v>132</v>
      </c>
      <c r="AD113" s="101" t="n">
        <v>600</v>
      </c>
      <c r="AE113" s="101" t="n">
        <v>300</v>
      </c>
      <c r="AF113" s="101" t="n">
        <v>150</v>
      </c>
      <c r="AG113" s="101" t="n">
        <v>50</v>
      </c>
      <c r="AH113" s="101" t="n">
        <v>100</v>
      </c>
      <c r="AI113" s="101" t="n">
        <v>200</v>
      </c>
    </row>
    <row r="114" customFormat="false" ht="21.75" hidden="false" customHeight="true" outlineLevel="0" collapsed="false">
      <c r="B114" s="104"/>
      <c r="C114" s="83" t="s">
        <v>58</v>
      </c>
      <c r="D114" s="83" t="s">
        <v>129</v>
      </c>
      <c r="E114" s="84" t="n">
        <v>44.5</v>
      </c>
      <c r="F114" s="84" t="n">
        <v>50</v>
      </c>
      <c r="G114" s="84" t="n">
        <f aca="false">E114*$G$8</f>
        <v>8.01</v>
      </c>
      <c r="H114" s="84" t="n">
        <f aca="false">SUM(E114:G114)</f>
        <v>102.51</v>
      </c>
      <c r="I114" s="126" t="n">
        <f aca="false">H114*200</f>
        <v>20502</v>
      </c>
      <c r="J114" s="87" t="n">
        <v>5</v>
      </c>
      <c r="K114" s="88" t="n">
        <f aca="false">I114/1000*J114*(1+$K$8)</f>
        <v>112.761</v>
      </c>
      <c r="L114" s="89" t="n">
        <v>3</v>
      </c>
      <c r="M114" s="88" t="n">
        <f aca="false">$L$8*L114</f>
        <v>240</v>
      </c>
      <c r="N114" s="88" t="n">
        <f aca="false">SUM(K114:M114)*0.1</f>
        <v>35.5761</v>
      </c>
      <c r="O114" s="90" t="n">
        <f aca="false">SUM(K114+M114+N114)</f>
        <v>388.3371</v>
      </c>
      <c r="P114" s="91" t="n">
        <v>1000</v>
      </c>
      <c r="Q114" s="92" t="n">
        <v>1000</v>
      </c>
      <c r="R114" s="93" t="n">
        <f aca="false">(Q114-O114)/Q114</f>
        <v>0.6116629</v>
      </c>
      <c r="S114" s="102" t="n">
        <f aca="false">Q114/J114*1000</f>
        <v>200000</v>
      </c>
      <c r="T114" s="107"/>
      <c r="U114" s="127" t="n">
        <v>160000</v>
      </c>
      <c r="V114" s="128"/>
      <c r="W114" s="98" t="n">
        <f aca="false">S114*(1-$W$8)</f>
        <v>200000</v>
      </c>
      <c r="X114" s="98" t="n">
        <f aca="false">S114*(1-$X$8)</f>
        <v>180000</v>
      </c>
      <c r="Y114" s="98" t="n">
        <f aca="false">S114*(1-$Y$8)</f>
        <v>170000</v>
      </c>
      <c r="Z114" s="98" t="n">
        <f aca="false">S114*(1-$Z$8)</f>
        <v>160000</v>
      </c>
      <c r="AA114" s="98" t="n">
        <f aca="false">Q114*(1-$AA$8)</f>
        <v>800</v>
      </c>
      <c r="AB114" s="93" t="n">
        <f aca="false">(AA114-O114)/AA114</f>
        <v>0.514578625</v>
      </c>
      <c r="AC114" s="104" t="s">
        <v>132</v>
      </c>
      <c r="AD114" s="101" t="n">
        <v>550</v>
      </c>
      <c r="AE114" s="101" t="n">
        <v>300</v>
      </c>
      <c r="AF114" s="101" t="n">
        <v>150</v>
      </c>
      <c r="AG114" s="101" t="n">
        <v>50</v>
      </c>
      <c r="AH114" s="101" t="n">
        <v>100</v>
      </c>
      <c r="AI114" s="101" t="n">
        <v>200</v>
      </c>
    </row>
    <row r="115" customFormat="false" ht="21.75" hidden="false" customHeight="true" outlineLevel="0" collapsed="false">
      <c r="B115" s="104"/>
      <c r="C115" s="104"/>
      <c r="D115" s="104"/>
      <c r="E115" s="104"/>
      <c r="F115" s="104"/>
      <c r="G115" s="104"/>
      <c r="H115" s="104"/>
      <c r="I115" s="104"/>
      <c r="J115" s="87" t="n">
        <v>10</v>
      </c>
      <c r="K115" s="88" t="n">
        <f aca="false">I114/1000*J115*(1+$K$8)</f>
        <v>225.522</v>
      </c>
      <c r="L115" s="89" t="n">
        <v>3</v>
      </c>
      <c r="M115" s="88" t="n">
        <f aca="false">$L$8*L115</f>
        <v>240</v>
      </c>
      <c r="N115" s="88" t="n">
        <f aca="false">SUM(K115:M115)*0.1</f>
        <v>46.8522</v>
      </c>
      <c r="O115" s="90" t="n">
        <f aca="false">SUM(K115+M115+N115)</f>
        <v>512.3742</v>
      </c>
      <c r="P115" s="91" t="n">
        <v>1000</v>
      </c>
      <c r="Q115" s="92" t="n">
        <v>1300</v>
      </c>
      <c r="R115" s="93" t="n">
        <f aca="false">(Q115-O115)/Q115</f>
        <v>0.605866</v>
      </c>
      <c r="S115" s="102" t="n">
        <f aca="false">Q115/J115*1000</f>
        <v>130000</v>
      </c>
      <c r="T115" s="105"/>
      <c r="U115" s="127"/>
      <c r="V115" s="130"/>
      <c r="W115" s="98" t="n">
        <f aca="false">S115*(1-$W$8)</f>
        <v>130000</v>
      </c>
      <c r="X115" s="98" t="n">
        <f aca="false">S115*(1-$X$8)</f>
        <v>117000</v>
      </c>
      <c r="Y115" s="98" t="n">
        <f aca="false">S115*(1-$Y$8)</f>
        <v>110500</v>
      </c>
      <c r="Z115" s="98" t="n">
        <f aca="false">S115*(1-$Z$8)</f>
        <v>104000</v>
      </c>
      <c r="AA115" s="98" t="n">
        <f aca="false">Q115*(1-$AA$8)</f>
        <v>1040</v>
      </c>
      <c r="AB115" s="93" t="n">
        <f aca="false">(AA115-O115)/AA115</f>
        <v>0.5073325</v>
      </c>
      <c r="AC115" s="104" t="s">
        <v>132</v>
      </c>
      <c r="AD115" s="101" t="n">
        <v>600</v>
      </c>
      <c r="AE115" s="101" t="n">
        <v>300</v>
      </c>
      <c r="AF115" s="101" t="n">
        <v>150</v>
      </c>
      <c r="AG115" s="101" t="n">
        <v>50</v>
      </c>
      <c r="AH115" s="101" t="n">
        <v>100</v>
      </c>
      <c r="AI115" s="101" t="n">
        <v>200</v>
      </c>
    </row>
    <row r="116" customFormat="false" ht="21.75" hidden="false" customHeight="true" outlineLevel="0" collapsed="false">
      <c r="B116" s="104" t="s">
        <v>59</v>
      </c>
      <c r="C116" s="83" t="s">
        <v>60</v>
      </c>
      <c r="D116" s="83" t="s">
        <v>129</v>
      </c>
      <c r="E116" s="84" t="n">
        <v>29.5</v>
      </c>
      <c r="F116" s="84" t="n">
        <v>50</v>
      </c>
      <c r="G116" s="84" t="n">
        <f aca="false">E116*$G$8</f>
        <v>5.31</v>
      </c>
      <c r="H116" s="84" t="n">
        <f aca="false">SUM(E116:G116)</f>
        <v>84.81</v>
      </c>
      <c r="I116" s="126" t="n">
        <f aca="false">H116*200</f>
        <v>16962</v>
      </c>
      <c r="J116" s="87" t="n">
        <v>5</v>
      </c>
      <c r="K116" s="88" t="n">
        <f aca="false">I116/1000*J116*(1+$K$8)</f>
        <v>93.291</v>
      </c>
      <c r="L116" s="89" t="n">
        <v>3</v>
      </c>
      <c r="M116" s="88" t="n">
        <f aca="false">$L$8*L116</f>
        <v>240</v>
      </c>
      <c r="N116" s="88" t="n">
        <f aca="false">SUM(K116:M116)*0.1</f>
        <v>33.6291</v>
      </c>
      <c r="O116" s="90" t="n">
        <f aca="false">SUM(K116+M116+N116)</f>
        <v>366.9201</v>
      </c>
      <c r="P116" s="91" t="n">
        <v>1000</v>
      </c>
      <c r="Q116" s="92" t="n">
        <v>1200</v>
      </c>
      <c r="R116" s="93" t="n">
        <f aca="false">(Q116-O116)/Q116</f>
        <v>0.69423325</v>
      </c>
      <c r="S116" s="102" t="n">
        <f aca="false">Q116/J116*1000</f>
        <v>240000</v>
      </c>
      <c r="T116" s="107"/>
      <c r="U116" s="127" t="n">
        <v>200000</v>
      </c>
      <c r="V116" s="128"/>
      <c r="W116" s="98" t="n">
        <f aca="false">S116*(1-$W$8)</f>
        <v>240000</v>
      </c>
      <c r="X116" s="98" t="n">
        <f aca="false">S116*(1-$X$8)</f>
        <v>216000</v>
      </c>
      <c r="Y116" s="98" t="n">
        <f aca="false">S116*(1-$Y$8)</f>
        <v>204000</v>
      </c>
      <c r="Z116" s="98" t="n">
        <f aca="false">S116*(1-$Z$8)</f>
        <v>192000</v>
      </c>
      <c r="AA116" s="98" t="n">
        <f aca="false">Q116*(1-$AA$8)</f>
        <v>960</v>
      </c>
      <c r="AB116" s="93" t="n">
        <f aca="false">(AA116-O116)/AA116</f>
        <v>0.6177915625</v>
      </c>
      <c r="AC116" s="104" t="s">
        <v>132</v>
      </c>
      <c r="AD116" s="101" t="n">
        <v>550</v>
      </c>
      <c r="AE116" s="101" t="n">
        <v>300</v>
      </c>
      <c r="AF116" s="101" t="n">
        <v>150</v>
      </c>
      <c r="AG116" s="101" t="n">
        <v>50</v>
      </c>
      <c r="AH116" s="101" t="n">
        <v>100</v>
      </c>
      <c r="AI116" s="101" t="n">
        <v>200</v>
      </c>
    </row>
    <row r="117" customFormat="false" ht="21.75" hidden="false" customHeight="true" outlineLevel="0" collapsed="false">
      <c r="B117" s="104"/>
      <c r="C117" s="83"/>
      <c r="D117" s="83"/>
      <c r="E117" s="83"/>
      <c r="F117" s="83"/>
      <c r="G117" s="83"/>
      <c r="H117" s="83"/>
      <c r="I117" s="83"/>
      <c r="J117" s="87" t="n">
        <v>10</v>
      </c>
      <c r="K117" s="88" t="n">
        <f aca="false">I116/1000*J117*(1+$K$8)</f>
        <v>186.582</v>
      </c>
      <c r="L117" s="89" t="n">
        <v>3</v>
      </c>
      <c r="M117" s="88" t="n">
        <f aca="false">$L$8*L117</f>
        <v>240</v>
      </c>
      <c r="N117" s="88" t="n">
        <f aca="false">SUM(K117:M117)*0.1</f>
        <v>42.9582</v>
      </c>
      <c r="O117" s="90" t="n">
        <f aca="false">SUM(K117+M117+N117)</f>
        <v>469.5402</v>
      </c>
      <c r="P117" s="91" t="n">
        <v>1000</v>
      </c>
      <c r="Q117" s="92" t="n">
        <v>1700</v>
      </c>
      <c r="R117" s="93" t="n">
        <f aca="false">(Q117-O117)/Q117</f>
        <v>0.723799882352941</v>
      </c>
      <c r="S117" s="102" t="n">
        <f aca="false">Q117/J117*1000</f>
        <v>170000</v>
      </c>
      <c r="T117" s="105"/>
      <c r="U117" s="127"/>
      <c r="V117" s="130"/>
      <c r="W117" s="98" t="n">
        <f aca="false">S117*(1-$W$8)</f>
        <v>170000</v>
      </c>
      <c r="X117" s="98" t="n">
        <f aca="false">S117*(1-$X$8)</f>
        <v>153000</v>
      </c>
      <c r="Y117" s="98" t="n">
        <f aca="false">S117*(1-$Y$8)</f>
        <v>144500</v>
      </c>
      <c r="Z117" s="98" t="n">
        <f aca="false">S117*(1-$Z$8)</f>
        <v>136000</v>
      </c>
      <c r="AA117" s="98" t="n">
        <f aca="false">Q117*(1-$AA$8)</f>
        <v>1360</v>
      </c>
      <c r="AB117" s="93" t="n">
        <f aca="false">(AA117-O117)/AA117</f>
        <v>0.654749852941177</v>
      </c>
      <c r="AC117" s="104" t="s">
        <v>132</v>
      </c>
      <c r="AD117" s="101" t="n">
        <v>600</v>
      </c>
      <c r="AE117" s="101" t="n">
        <v>300</v>
      </c>
      <c r="AF117" s="101" t="n">
        <v>150</v>
      </c>
      <c r="AG117" s="101" t="n">
        <v>50</v>
      </c>
      <c r="AH117" s="101" t="n">
        <v>100</v>
      </c>
      <c r="AI117" s="101" t="n">
        <v>200</v>
      </c>
    </row>
    <row r="118" customFormat="false" ht="21.75" hidden="false" customHeight="true" outlineLevel="0" collapsed="false">
      <c r="B118" s="104"/>
      <c r="C118" s="83" t="s">
        <v>61</v>
      </c>
      <c r="D118" s="83" t="s">
        <v>129</v>
      </c>
      <c r="E118" s="84" t="n">
        <v>102</v>
      </c>
      <c r="F118" s="84" t="n">
        <v>50</v>
      </c>
      <c r="G118" s="84" t="n">
        <f aca="false">E118*$G$8</f>
        <v>18.36</v>
      </c>
      <c r="H118" s="84" t="n">
        <f aca="false">SUM(E118:G118)</f>
        <v>170.36</v>
      </c>
      <c r="I118" s="126" t="n">
        <f aca="false">H118*200</f>
        <v>34072</v>
      </c>
      <c r="J118" s="87" t="n">
        <v>5</v>
      </c>
      <c r="K118" s="88" t="n">
        <f aca="false">I118/1000*J118*(1+$K$8)</f>
        <v>187.396</v>
      </c>
      <c r="L118" s="89" t="n">
        <v>3</v>
      </c>
      <c r="M118" s="88" t="n">
        <f aca="false">$L$8*L118</f>
        <v>240</v>
      </c>
      <c r="N118" s="88" t="n">
        <f aca="false">SUM(K118:M118)*0.1</f>
        <v>43.0396</v>
      </c>
      <c r="O118" s="90" t="n">
        <f aca="false">SUM(K118+M118+N118)</f>
        <v>470.4356</v>
      </c>
      <c r="P118" s="91" t="n">
        <v>1000</v>
      </c>
      <c r="Q118" s="92" t="n">
        <v>1200</v>
      </c>
      <c r="R118" s="93" t="n">
        <f aca="false">(Q118-O118)/Q118</f>
        <v>0.607970333333333</v>
      </c>
      <c r="S118" s="102" t="n">
        <f aca="false">Q118/J118*1000</f>
        <v>240000</v>
      </c>
      <c r="T118" s="107"/>
      <c r="U118" s="127" t="n">
        <v>200000</v>
      </c>
      <c r="V118" s="128"/>
      <c r="W118" s="98" t="n">
        <f aca="false">S118*(1-$W$8)</f>
        <v>240000</v>
      </c>
      <c r="X118" s="98" t="n">
        <f aca="false">S118*(1-$X$8)</f>
        <v>216000</v>
      </c>
      <c r="Y118" s="98" t="n">
        <f aca="false">S118*(1-$Y$8)</f>
        <v>204000</v>
      </c>
      <c r="Z118" s="98" t="n">
        <f aca="false">S118*(1-$Z$8)</f>
        <v>192000</v>
      </c>
      <c r="AA118" s="98" t="n">
        <f aca="false">Q118*(1-$AA$8)</f>
        <v>960</v>
      </c>
      <c r="AB118" s="93" t="n">
        <f aca="false">(AA118-O118)/AA118</f>
        <v>0.509962916666667</v>
      </c>
      <c r="AC118" s="104" t="s">
        <v>132</v>
      </c>
      <c r="AD118" s="101" t="n">
        <v>550</v>
      </c>
      <c r="AE118" s="101" t="n">
        <v>300</v>
      </c>
      <c r="AF118" s="101" t="n">
        <v>150</v>
      </c>
      <c r="AG118" s="101" t="n">
        <v>50</v>
      </c>
      <c r="AH118" s="101" t="n">
        <v>100</v>
      </c>
      <c r="AI118" s="101" t="n">
        <v>200</v>
      </c>
    </row>
    <row r="119" customFormat="false" ht="21.75" hidden="false" customHeight="true" outlineLevel="0" collapsed="false">
      <c r="B119" s="104"/>
      <c r="C119" s="83"/>
      <c r="D119" s="83"/>
      <c r="E119" s="83"/>
      <c r="F119" s="83"/>
      <c r="G119" s="83"/>
      <c r="H119" s="83"/>
      <c r="I119" s="83"/>
      <c r="J119" s="87" t="n">
        <v>10</v>
      </c>
      <c r="K119" s="88" t="n">
        <f aca="false">I118/1000*J119*(1+$K$8)</f>
        <v>374.792</v>
      </c>
      <c r="L119" s="89" t="n">
        <v>3</v>
      </c>
      <c r="M119" s="88" t="n">
        <f aca="false">$L$8*L119</f>
        <v>240</v>
      </c>
      <c r="N119" s="88" t="n">
        <f aca="false">SUM(K119:M119)*0.1</f>
        <v>61.7792</v>
      </c>
      <c r="O119" s="90" t="n">
        <f aca="false">SUM(K119+M119+N119)</f>
        <v>676.5712</v>
      </c>
      <c r="P119" s="91" t="n">
        <v>1000</v>
      </c>
      <c r="Q119" s="92" t="n">
        <v>1700</v>
      </c>
      <c r="R119" s="93" t="n">
        <f aca="false">(Q119-O119)/Q119</f>
        <v>0.60201694117647</v>
      </c>
      <c r="S119" s="102" t="n">
        <f aca="false">Q119/J119*1000</f>
        <v>170000</v>
      </c>
      <c r="T119" s="105"/>
      <c r="U119" s="127"/>
      <c r="V119" s="130"/>
      <c r="W119" s="98" t="n">
        <f aca="false">S119*(1-$W$8)</f>
        <v>170000</v>
      </c>
      <c r="X119" s="98" t="n">
        <f aca="false">S119*(1-$X$8)</f>
        <v>153000</v>
      </c>
      <c r="Y119" s="98" t="n">
        <f aca="false">S119*(1-$Y$8)</f>
        <v>144500</v>
      </c>
      <c r="Z119" s="98" t="n">
        <f aca="false">S119*(1-$Z$8)</f>
        <v>136000</v>
      </c>
      <c r="AA119" s="98" t="n">
        <f aca="false">Q119*(1-$AA$8)</f>
        <v>1360</v>
      </c>
      <c r="AB119" s="93" t="n">
        <f aca="false">(AA119-O119)/AA119</f>
        <v>0.502521176470588</v>
      </c>
      <c r="AC119" s="104" t="s">
        <v>132</v>
      </c>
      <c r="AD119" s="101" t="n">
        <v>600</v>
      </c>
      <c r="AE119" s="101" t="n">
        <v>300</v>
      </c>
      <c r="AF119" s="101" t="n">
        <v>150</v>
      </c>
      <c r="AG119" s="101" t="n">
        <v>50</v>
      </c>
      <c r="AH119" s="101" t="n">
        <v>100</v>
      </c>
      <c r="AI119" s="101" t="n">
        <v>200</v>
      </c>
    </row>
    <row r="120" customFormat="false" ht="21.75" hidden="false" customHeight="true" outlineLevel="0" collapsed="false">
      <c r="B120" s="104"/>
      <c r="C120" s="83" t="s">
        <v>62</v>
      </c>
      <c r="D120" s="83" t="s">
        <v>129</v>
      </c>
      <c r="E120" s="84" t="n">
        <v>106.5</v>
      </c>
      <c r="F120" s="84" t="n">
        <v>50</v>
      </c>
      <c r="G120" s="84" t="n">
        <f aca="false">E120*$G$8</f>
        <v>19.17</v>
      </c>
      <c r="H120" s="84" t="n">
        <f aca="false">SUM(E120:G120)</f>
        <v>175.67</v>
      </c>
      <c r="I120" s="126" t="n">
        <f aca="false">H120*200</f>
        <v>35134</v>
      </c>
      <c r="J120" s="87" t="n">
        <v>5</v>
      </c>
      <c r="K120" s="88" t="n">
        <f aca="false">I120/1000*J120*(1+$K$8)</f>
        <v>193.237</v>
      </c>
      <c r="L120" s="89" t="n">
        <v>3</v>
      </c>
      <c r="M120" s="88" t="n">
        <f aca="false">$L$8*L120</f>
        <v>240</v>
      </c>
      <c r="N120" s="88" t="n">
        <f aca="false">SUM(K120:M120)*0.1</f>
        <v>43.6237</v>
      </c>
      <c r="O120" s="90" t="n">
        <f aca="false">SUM(K120+M120+N120)</f>
        <v>476.8607</v>
      </c>
      <c r="P120" s="91" t="n">
        <v>1000</v>
      </c>
      <c r="Q120" s="92" t="n">
        <v>1200</v>
      </c>
      <c r="R120" s="93" t="n">
        <f aca="false">(Q120-O120)/Q120</f>
        <v>0.602616083333333</v>
      </c>
      <c r="S120" s="102" t="n">
        <f aca="false">Q120/J120*1000</f>
        <v>240000</v>
      </c>
      <c r="T120" s="107"/>
      <c r="U120" s="127" t="n">
        <v>200000</v>
      </c>
      <c r="V120" s="128"/>
      <c r="W120" s="98" t="n">
        <f aca="false">S120*(1-$W$8)</f>
        <v>240000</v>
      </c>
      <c r="X120" s="98" t="n">
        <f aca="false">S120*(1-$X$8)</f>
        <v>216000</v>
      </c>
      <c r="Y120" s="98" t="n">
        <f aca="false">S120*(1-$Y$8)</f>
        <v>204000</v>
      </c>
      <c r="Z120" s="98" t="n">
        <f aca="false">S120*(1-$Z$8)</f>
        <v>192000</v>
      </c>
      <c r="AA120" s="98" t="n">
        <f aca="false">Q120*(1-$AA$8)</f>
        <v>960</v>
      </c>
      <c r="AB120" s="93" t="n">
        <f aca="false">(AA120-O120)/AA120</f>
        <v>0.503270104166667</v>
      </c>
      <c r="AC120" s="104" t="s">
        <v>132</v>
      </c>
      <c r="AD120" s="101" t="n">
        <v>550</v>
      </c>
      <c r="AE120" s="101" t="n">
        <v>300</v>
      </c>
      <c r="AF120" s="101" t="n">
        <v>150</v>
      </c>
      <c r="AG120" s="101" t="n">
        <v>50</v>
      </c>
      <c r="AH120" s="101" t="n">
        <v>100</v>
      </c>
      <c r="AI120" s="101" t="n">
        <v>200</v>
      </c>
    </row>
    <row r="121" customFormat="false" ht="21.75" hidden="false" customHeight="true" outlineLevel="0" collapsed="false">
      <c r="B121" s="104"/>
      <c r="C121" s="83"/>
      <c r="D121" s="83"/>
      <c r="E121" s="83"/>
      <c r="F121" s="83"/>
      <c r="G121" s="83"/>
      <c r="H121" s="83"/>
      <c r="I121" s="83"/>
      <c r="J121" s="87" t="n">
        <v>10</v>
      </c>
      <c r="K121" s="88" t="n">
        <f aca="false">I120/1000*J121*(1+$K$8)</f>
        <v>386.474</v>
      </c>
      <c r="L121" s="89" t="n">
        <v>3</v>
      </c>
      <c r="M121" s="88" t="n">
        <f aca="false">$L$8*L121</f>
        <v>240</v>
      </c>
      <c r="N121" s="88" t="n">
        <f aca="false">SUM(K121:M121)*0.1</f>
        <v>62.9474</v>
      </c>
      <c r="O121" s="90" t="n">
        <f aca="false">SUM(K121+M121+N121)</f>
        <v>689.4214</v>
      </c>
      <c r="P121" s="91" t="n">
        <v>1000</v>
      </c>
      <c r="Q121" s="92" t="n">
        <v>1700</v>
      </c>
      <c r="R121" s="93" t="n">
        <f aca="false">(Q121-O121)/Q121</f>
        <v>0.594458</v>
      </c>
      <c r="S121" s="102" t="n">
        <f aca="false">Q121/J121*1000</f>
        <v>170000</v>
      </c>
      <c r="T121" s="105"/>
      <c r="U121" s="127"/>
      <c r="V121" s="130"/>
      <c r="W121" s="98" t="n">
        <f aca="false">S121*(1-$W$8)</f>
        <v>170000</v>
      </c>
      <c r="X121" s="98" t="n">
        <f aca="false">S121*(1-$X$8)</f>
        <v>153000</v>
      </c>
      <c r="Y121" s="98" t="n">
        <f aca="false">S121*(1-$Y$8)</f>
        <v>144500</v>
      </c>
      <c r="Z121" s="98" t="n">
        <f aca="false">S121*(1-$Z$8)</f>
        <v>136000</v>
      </c>
      <c r="AA121" s="98" t="n">
        <f aca="false">Q121*(1-$AA$8)</f>
        <v>1360</v>
      </c>
      <c r="AB121" s="93" t="n">
        <f aca="false">(AA121-O121)/AA121</f>
        <v>0.4930725</v>
      </c>
      <c r="AC121" s="104" t="s">
        <v>132</v>
      </c>
      <c r="AD121" s="101" t="n">
        <v>600</v>
      </c>
      <c r="AE121" s="101" t="n">
        <v>300</v>
      </c>
      <c r="AF121" s="101" t="n">
        <v>150</v>
      </c>
      <c r="AG121" s="101" t="n">
        <v>50</v>
      </c>
      <c r="AH121" s="101" t="n">
        <v>100</v>
      </c>
      <c r="AI121" s="101" t="n">
        <v>200</v>
      </c>
    </row>
    <row r="122" customFormat="false" ht="21.75" hidden="false" customHeight="true" outlineLevel="0" collapsed="false">
      <c r="B122" s="104"/>
      <c r="C122" s="83" t="s">
        <v>63</v>
      </c>
      <c r="D122" s="83" t="s">
        <v>129</v>
      </c>
      <c r="E122" s="84" t="n">
        <v>193.5</v>
      </c>
      <c r="F122" s="84" t="n">
        <v>50</v>
      </c>
      <c r="G122" s="84" t="n">
        <f aca="false">E122*$G$8</f>
        <v>34.83</v>
      </c>
      <c r="H122" s="84" t="n">
        <f aca="false">SUM(E122:G122)</f>
        <v>278.33</v>
      </c>
      <c r="I122" s="126" t="n">
        <f aca="false">H122*200</f>
        <v>55666</v>
      </c>
      <c r="J122" s="87" t="n">
        <v>5</v>
      </c>
      <c r="K122" s="88" t="n">
        <f aca="false">I122/1000*J122*(1+$K$8)</f>
        <v>306.163</v>
      </c>
      <c r="L122" s="89" t="n">
        <v>3</v>
      </c>
      <c r="M122" s="88" t="n">
        <f aca="false">$L$8*L122</f>
        <v>240</v>
      </c>
      <c r="N122" s="88" t="n">
        <f aca="false">SUM(K122:M122)*0.1</f>
        <v>54.9163</v>
      </c>
      <c r="O122" s="90" t="n">
        <f aca="false">SUM(K122+M122+N122)</f>
        <v>601.0793</v>
      </c>
      <c r="P122" s="91" t="n">
        <v>1000</v>
      </c>
      <c r="Q122" s="92" t="n">
        <v>1500</v>
      </c>
      <c r="R122" s="93" t="n">
        <f aca="false">(Q122-O122)/Q122</f>
        <v>0.599280466666667</v>
      </c>
      <c r="S122" s="102" t="n">
        <f aca="false">Q122/J122*1000</f>
        <v>300000</v>
      </c>
      <c r="T122" s="107"/>
      <c r="U122" s="127" t="n">
        <v>300000</v>
      </c>
      <c r="V122" s="128"/>
      <c r="W122" s="98" t="n">
        <f aca="false">S122*(1-$W$8)</f>
        <v>300000</v>
      </c>
      <c r="X122" s="98" t="n">
        <f aca="false">S122*(1-$X$8)</f>
        <v>270000</v>
      </c>
      <c r="Y122" s="98" t="n">
        <f aca="false">S122*(1-$Y$8)</f>
        <v>255000</v>
      </c>
      <c r="Z122" s="98" t="n">
        <f aca="false">S122*(1-$Z$8)</f>
        <v>240000</v>
      </c>
      <c r="AA122" s="98" t="n">
        <f aca="false">Q122*(1-$AA$8)</f>
        <v>1200</v>
      </c>
      <c r="AB122" s="93" t="n">
        <f aca="false">(AA122-O122)/AA122</f>
        <v>0.499100583333333</v>
      </c>
      <c r="AC122" s="104" t="s">
        <v>132</v>
      </c>
      <c r="AD122" s="101" t="n">
        <v>550</v>
      </c>
      <c r="AE122" s="101" t="n">
        <v>300</v>
      </c>
      <c r="AF122" s="101" t="n">
        <v>150</v>
      </c>
      <c r="AG122" s="101" t="n">
        <v>50</v>
      </c>
      <c r="AH122" s="101" t="n">
        <v>100</v>
      </c>
      <c r="AI122" s="101" t="n">
        <v>200</v>
      </c>
    </row>
    <row r="123" customFormat="false" ht="21.75" hidden="false" customHeight="true" outlineLevel="0" collapsed="false">
      <c r="B123" s="104"/>
      <c r="C123" s="104"/>
      <c r="D123" s="104"/>
      <c r="E123" s="104"/>
      <c r="F123" s="104"/>
      <c r="G123" s="104"/>
      <c r="H123" s="104"/>
      <c r="I123" s="104"/>
      <c r="J123" s="87" t="n">
        <v>10</v>
      </c>
      <c r="K123" s="88" t="n">
        <f aca="false">I122/1000*J123*(1+$K$8)</f>
        <v>612.326</v>
      </c>
      <c r="L123" s="89" t="n">
        <v>3</v>
      </c>
      <c r="M123" s="88" t="n">
        <f aca="false">$L$8*L123</f>
        <v>240</v>
      </c>
      <c r="N123" s="88" t="n">
        <f aca="false">SUM(K123:M123)*0.1</f>
        <v>85.5326</v>
      </c>
      <c r="O123" s="90" t="n">
        <f aca="false">SUM(K123+M123+N123)</f>
        <v>937.8586</v>
      </c>
      <c r="P123" s="91" t="n">
        <v>1000</v>
      </c>
      <c r="Q123" s="92" t="n">
        <v>2200</v>
      </c>
      <c r="R123" s="93" t="n">
        <f aca="false">(Q123-O123)/Q123</f>
        <v>0.573700636363636</v>
      </c>
      <c r="S123" s="102" t="n">
        <f aca="false">Q123/J123*1000</f>
        <v>220000</v>
      </c>
      <c r="T123" s="105"/>
      <c r="U123" s="127"/>
      <c r="V123" s="130"/>
      <c r="W123" s="98" t="n">
        <f aca="false">S123*(1-$W$8)</f>
        <v>220000</v>
      </c>
      <c r="X123" s="98" t="n">
        <f aca="false">S123*(1-$X$8)</f>
        <v>198000</v>
      </c>
      <c r="Y123" s="98" t="n">
        <f aca="false">S123*(1-$Y$8)</f>
        <v>187000</v>
      </c>
      <c r="Z123" s="98" t="n">
        <f aca="false">S123*(1-$Z$8)</f>
        <v>176000</v>
      </c>
      <c r="AA123" s="98" t="n">
        <f aca="false">Q123*(1-$AA$8)</f>
        <v>1760</v>
      </c>
      <c r="AB123" s="93" t="n">
        <f aca="false">(AA123-O123)/AA123</f>
        <v>0.467125795454545</v>
      </c>
      <c r="AC123" s="104" t="s">
        <v>132</v>
      </c>
      <c r="AD123" s="101" t="n">
        <v>600</v>
      </c>
      <c r="AE123" s="101" t="n">
        <v>300</v>
      </c>
      <c r="AF123" s="101" t="n">
        <v>150</v>
      </c>
      <c r="AG123" s="101" t="n">
        <v>50</v>
      </c>
      <c r="AH123" s="101" t="n">
        <v>100</v>
      </c>
      <c r="AI123" s="101" t="n">
        <v>200</v>
      </c>
    </row>
    <row r="124" customFormat="false" ht="21.75" hidden="false" customHeight="true" outlineLevel="0" collapsed="false">
      <c r="B124" s="104" t="s">
        <v>64</v>
      </c>
      <c r="C124" s="83" t="s">
        <v>65</v>
      </c>
      <c r="D124" s="83" t="s">
        <v>129</v>
      </c>
      <c r="E124" s="84" t="n">
        <v>29.5</v>
      </c>
      <c r="F124" s="84" t="n">
        <v>50</v>
      </c>
      <c r="G124" s="84" t="n">
        <f aca="false">E124*$G$8</f>
        <v>5.31</v>
      </c>
      <c r="H124" s="84" t="n">
        <f aca="false">SUM(E124:G124)</f>
        <v>84.81</v>
      </c>
      <c r="I124" s="126" t="n">
        <f aca="false">H124*200</f>
        <v>16962</v>
      </c>
      <c r="J124" s="87" t="n">
        <v>5</v>
      </c>
      <c r="K124" s="88" t="n">
        <f aca="false">I124/1000*J124*(1+$K$8)</f>
        <v>93.291</v>
      </c>
      <c r="L124" s="89" t="n">
        <v>3</v>
      </c>
      <c r="M124" s="88" t="n">
        <f aca="false">$L$8*L124</f>
        <v>240</v>
      </c>
      <c r="N124" s="88" t="n">
        <f aca="false">SUM(K124:M124)*0.1</f>
        <v>33.6291</v>
      </c>
      <c r="O124" s="90" t="n">
        <f aca="false">SUM(K124+M124+N124)</f>
        <v>366.9201</v>
      </c>
      <c r="P124" s="91" t="n">
        <v>1000</v>
      </c>
      <c r="Q124" s="92" t="n">
        <v>1200</v>
      </c>
      <c r="R124" s="93" t="n">
        <f aca="false">(Q124-O124)/Q124</f>
        <v>0.69423325</v>
      </c>
      <c r="S124" s="102" t="n">
        <f aca="false">Q124/J124*1000</f>
        <v>240000</v>
      </c>
      <c r="T124" s="107"/>
      <c r="U124" s="127" t="n">
        <v>80000</v>
      </c>
      <c r="V124" s="128"/>
      <c r="W124" s="98" t="n">
        <f aca="false">S124*(1-$W$8)</f>
        <v>240000</v>
      </c>
      <c r="X124" s="98" t="n">
        <f aca="false">S124*(1-$X$8)</f>
        <v>216000</v>
      </c>
      <c r="Y124" s="98" t="n">
        <f aca="false">S124*(1-$Y$8)</f>
        <v>204000</v>
      </c>
      <c r="Z124" s="98" t="n">
        <f aca="false">S124*(1-$Z$8)</f>
        <v>192000</v>
      </c>
      <c r="AA124" s="98" t="n">
        <f aca="false">Q124*(1-$AA$8)</f>
        <v>960</v>
      </c>
      <c r="AB124" s="93" t="n">
        <f aca="false">(AA124-O124)/AA124</f>
        <v>0.6177915625</v>
      </c>
      <c r="AC124" s="104" t="s">
        <v>132</v>
      </c>
      <c r="AD124" s="101" t="n">
        <v>550</v>
      </c>
      <c r="AE124" s="101" t="n">
        <v>300</v>
      </c>
      <c r="AF124" s="101" t="n">
        <v>150</v>
      </c>
      <c r="AG124" s="101" t="n">
        <v>50</v>
      </c>
      <c r="AH124" s="101" t="n">
        <v>100</v>
      </c>
      <c r="AI124" s="101" t="n">
        <v>200</v>
      </c>
    </row>
    <row r="125" customFormat="false" ht="21.75" hidden="false" customHeight="true" outlineLevel="0" collapsed="false">
      <c r="B125" s="104"/>
      <c r="C125" s="83"/>
      <c r="D125" s="83"/>
      <c r="E125" s="83"/>
      <c r="F125" s="83"/>
      <c r="G125" s="83"/>
      <c r="H125" s="83"/>
      <c r="I125" s="83"/>
      <c r="J125" s="87" t="n">
        <v>10</v>
      </c>
      <c r="K125" s="88" t="n">
        <f aca="false">I124/1000*J125*(1+$K$8)</f>
        <v>186.582</v>
      </c>
      <c r="L125" s="89" t="n">
        <v>3</v>
      </c>
      <c r="M125" s="88" t="n">
        <f aca="false">$L$8*L125</f>
        <v>240</v>
      </c>
      <c r="N125" s="88" t="n">
        <f aca="false">SUM(K125:M125)*0.1</f>
        <v>42.9582</v>
      </c>
      <c r="O125" s="90" t="n">
        <f aca="false">SUM(K125+M125+N125)</f>
        <v>469.5402</v>
      </c>
      <c r="P125" s="91" t="n">
        <v>1000</v>
      </c>
      <c r="Q125" s="92" t="n">
        <v>1700</v>
      </c>
      <c r="R125" s="93" t="n">
        <f aca="false">(Q125-O125)/Q125</f>
        <v>0.723799882352941</v>
      </c>
      <c r="S125" s="102" t="n">
        <f aca="false">Q125/J125*1000</f>
        <v>170000</v>
      </c>
      <c r="T125" s="105"/>
      <c r="U125" s="127"/>
      <c r="V125" s="130"/>
      <c r="W125" s="98" t="n">
        <f aca="false">S125*(1-$W$8)</f>
        <v>170000</v>
      </c>
      <c r="X125" s="98" t="n">
        <f aca="false">S125*(1-$X$8)</f>
        <v>153000</v>
      </c>
      <c r="Y125" s="98" t="n">
        <f aca="false">S125*(1-$Y$8)</f>
        <v>144500</v>
      </c>
      <c r="Z125" s="98" t="n">
        <f aca="false">S125*(1-$Z$8)</f>
        <v>136000</v>
      </c>
      <c r="AA125" s="98" t="n">
        <f aca="false">Q125*(1-$AA$8)</f>
        <v>1360</v>
      </c>
      <c r="AB125" s="93" t="n">
        <f aca="false">(AA125-O125)/AA125</f>
        <v>0.654749852941177</v>
      </c>
      <c r="AC125" s="104" t="s">
        <v>132</v>
      </c>
      <c r="AD125" s="101" t="n">
        <v>600</v>
      </c>
      <c r="AE125" s="101" t="n">
        <v>300</v>
      </c>
      <c r="AF125" s="101" t="n">
        <v>150</v>
      </c>
      <c r="AG125" s="101" t="n">
        <v>50</v>
      </c>
      <c r="AH125" s="101" t="n">
        <v>100</v>
      </c>
      <c r="AI125" s="101" t="n">
        <v>200</v>
      </c>
    </row>
    <row r="126" customFormat="false" ht="21.75" hidden="false" customHeight="true" outlineLevel="0" collapsed="false">
      <c r="B126" s="104"/>
      <c r="C126" s="83" t="s">
        <v>66</v>
      </c>
      <c r="D126" s="83" t="s">
        <v>129</v>
      </c>
      <c r="E126" s="84" t="n">
        <v>30.5</v>
      </c>
      <c r="F126" s="84" t="n">
        <v>50</v>
      </c>
      <c r="G126" s="84" t="n">
        <f aca="false">E126*$G$8</f>
        <v>5.49</v>
      </c>
      <c r="H126" s="84" t="n">
        <f aca="false">SUM(E126:G126)</f>
        <v>85.99</v>
      </c>
      <c r="I126" s="126" t="n">
        <f aca="false">H126*200</f>
        <v>17198</v>
      </c>
      <c r="J126" s="87" t="n">
        <v>5</v>
      </c>
      <c r="K126" s="88" t="n">
        <f aca="false">I126/1000*J126*(1+$K$8)</f>
        <v>94.589</v>
      </c>
      <c r="L126" s="89" t="n">
        <v>3</v>
      </c>
      <c r="M126" s="88" t="n">
        <f aca="false">$L$8*L126</f>
        <v>240</v>
      </c>
      <c r="N126" s="88" t="n">
        <f aca="false">SUM(K126:M126)*0.1</f>
        <v>33.7589</v>
      </c>
      <c r="O126" s="90" t="n">
        <f aca="false">SUM(K126+M126+N126)</f>
        <v>368.3479</v>
      </c>
      <c r="P126" s="91" t="n">
        <v>1000</v>
      </c>
      <c r="Q126" s="92" t="n">
        <v>1200</v>
      </c>
      <c r="R126" s="93" t="n">
        <f aca="false">(Q126-O126)/Q126</f>
        <v>0.693043416666667</v>
      </c>
      <c r="S126" s="102" t="n">
        <f aca="false">Q126/J126*1000</f>
        <v>240000</v>
      </c>
      <c r="T126" s="107"/>
      <c r="U126" s="127" t="n">
        <v>80000</v>
      </c>
      <c r="V126" s="128"/>
      <c r="W126" s="98" t="n">
        <f aca="false">S126*(1-$W$8)</f>
        <v>240000</v>
      </c>
      <c r="X126" s="98" t="n">
        <f aca="false">S126*(1-$X$8)</f>
        <v>216000</v>
      </c>
      <c r="Y126" s="98" t="n">
        <f aca="false">S126*(1-$Y$8)</f>
        <v>204000</v>
      </c>
      <c r="Z126" s="98" t="n">
        <f aca="false">S126*(1-$Z$8)</f>
        <v>192000</v>
      </c>
      <c r="AA126" s="98" t="n">
        <f aca="false">Q126*(1-$AA$8)</f>
        <v>960</v>
      </c>
      <c r="AB126" s="93" t="n">
        <f aca="false">(AA126-O126)/AA126</f>
        <v>0.616304270833333</v>
      </c>
      <c r="AC126" s="104" t="s">
        <v>132</v>
      </c>
      <c r="AD126" s="101" t="n">
        <v>550</v>
      </c>
      <c r="AE126" s="101" t="n">
        <v>300</v>
      </c>
      <c r="AF126" s="101" t="n">
        <v>150</v>
      </c>
      <c r="AG126" s="101" t="n">
        <v>50</v>
      </c>
      <c r="AH126" s="101" t="n">
        <v>100</v>
      </c>
      <c r="AI126" s="101" t="n">
        <v>200</v>
      </c>
    </row>
    <row r="127" customFormat="false" ht="21.75" hidden="false" customHeight="true" outlineLevel="0" collapsed="false">
      <c r="B127" s="104"/>
      <c r="C127" s="83"/>
      <c r="D127" s="83"/>
      <c r="E127" s="83"/>
      <c r="F127" s="83"/>
      <c r="G127" s="83"/>
      <c r="H127" s="83"/>
      <c r="I127" s="83"/>
      <c r="J127" s="87" t="n">
        <v>10</v>
      </c>
      <c r="K127" s="88" t="n">
        <f aca="false">I126/1000*J127*(1+$K$8)</f>
        <v>189.178</v>
      </c>
      <c r="L127" s="89" t="n">
        <v>3</v>
      </c>
      <c r="M127" s="88" t="n">
        <f aca="false">$L$8*L127</f>
        <v>240</v>
      </c>
      <c r="N127" s="88" t="n">
        <f aca="false">SUM(K127:M127)*0.1</f>
        <v>43.2178</v>
      </c>
      <c r="O127" s="90" t="n">
        <f aca="false">SUM(K127+M127+N127)</f>
        <v>472.3958</v>
      </c>
      <c r="P127" s="91" t="n">
        <v>1000</v>
      </c>
      <c r="Q127" s="92" t="n">
        <v>1700</v>
      </c>
      <c r="R127" s="93" t="n">
        <f aca="false">(Q127-O127)/Q127</f>
        <v>0.722120117647059</v>
      </c>
      <c r="S127" s="102" t="n">
        <f aca="false">Q127/J127*1000</f>
        <v>170000</v>
      </c>
      <c r="T127" s="105"/>
      <c r="U127" s="127"/>
      <c r="V127" s="130"/>
      <c r="W127" s="98" t="n">
        <f aca="false">S127*(1-$W$8)</f>
        <v>170000</v>
      </c>
      <c r="X127" s="98" t="n">
        <f aca="false">S127*(1-$X$8)</f>
        <v>153000</v>
      </c>
      <c r="Y127" s="98" t="n">
        <f aca="false">S127*(1-$Y$8)</f>
        <v>144500</v>
      </c>
      <c r="Z127" s="98" t="n">
        <f aca="false">S127*(1-$Z$8)</f>
        <v>136000</v>
      </c>
      <c r="AA127" s="98" t="n">
        <f aca="false">Q127*(1-$AA$8)</f>
        <v>1360</v>
      </c>
      <c r="AB127" s="93" t="n">
        <f aca="false">(AA127-O127)/AA127</f>
        <v>0.652650147058824</v>
      </c>
      <c r="AC127" s="104" t="s">
        <v>132</v>
      </c>
      <c r="AD127" s="101" t="n">
        <v>600</v>
      </c>
      <c r="AE127" s="101" t="n">
        <v>300</v>
      </c>
      <c r="AF127" s="101" t="n">
        <v>150</v>
      </c>
      <c r="AG127" s="101" t="n">
        <v>50</v>
      </c>
      <c r="AH127" s="101" t="n">
        <v>100</v>
      </c>
      <c r="AI127" s="101" t="n">
        <v>200</v>
      </c>
    </row>
    <row r="128" customFormat="false" ht="21.75" hidden="false" customHeight="true" outlineLevel="0" collapsed="false">
      <c r="B128" s="104"/>
      <c r="C128" s="83" t="s">
        <v>67</v>
      </c>
      <c r="D128" s="83" t="s">
        <v>129</v>
      </c>
      <c r="E128" s="84" t="n">
        <v>33.5</v>
      </c>
      <c r="F128" s="84" t="n">
        <v>50</v>
      </c>
      <c r="G128" s="84" t="n">
        <f aca="false">E128*$G$8</f>
        <v>6.03</v>
      </c>
      <c r="H128" s="84" t="n">
        <f aca="false">SUM(E128:G128)</f>
        <v>89.53</v>
      </c>
      <c r="I128" s="126" t="n">
        <f aca="false">H128*200</f>
        <v>17906</v>
      </c>
      <c r="J128" s="87" t="n">
        <v>5</v>
      </c>
      <c r="K128" s="88" t="n">
        <f aca="false">I128/1000*J128*(1+$K$8)</f>
        <v>98.483</v>
      </c>
      <c r="L128" s="89" t="n">
        <v>3</v>
      </c>
      <c r="M128" s="88" t="n">
        <f aca="false">$L$8*L128</f>
        <v>240</v>
      </c>
      <c r="N128" s="88" t="n">
        <f aca="false">SUM(K128:M128)*0.1</f>
        <v>34.1483</v>
      </c>
      <c r="O128" s="90" t="n">
        <f aca="false">SUM(K128+M128+N128)</f>
        <v>372.6313</v>
      </c>
      <c r="P128" s="91" t="n">
        <v>1000</v>
      </c>
      <c r="Q128" s="92" t="n">
        <v>1200</v>
      </c>
      <c r="R128" s="93" t="n">
        <f aca="false">(Q128-O128)/Q128</f>
        <v>0.689473916666667</v>
      </c>
      <c r="S128" s="102" t="n">
        <f aca="false">Q128/J128*1000</f>
        <v>240000</v>
      </c>
      <c r="T128" s="107"/>
      <c r="U128" s="127" t="n">
        <v>80000</v>
      </c>
      <c r="V128" s="128"/>
      <c r="W128" s="98" t="n">
        <f aca="false">S128*(1-$W$8)</f>
        <v>240000</v>
      </c>
      <c r="X128" s="98" t="n">
        <f aca="false">S128*(1-$X$8)</f>
        <v>216000</v>
      </c>
      <c r="Y128" s="98" t="n">
        <f aca="false">S128*(1-$Y$8)</f>
        <v>204000</v>
      </c>
      <c r="Z128" s="98" t="n">
        <f aca="false">S128*(1-$Z$8)</f>
        <v>192000</v>
      </c>
      <c r="AA128" s="98" t="n">
        <f aca="false">Q128*(1-$AA$8)</f>
        <v>960</v>
      </c>
      <c r="AB128" s="93" t="n">
        <f aca="false">(AA128-O128)/AA128</f>
        <v>0.611842395833333</v>
      </c>
      <c r="AC128" s="104" t="s">
        <v>132</v>
      </c>
      <c r="AD128" s="101" t="n">
        <v>550</v>
      </c>
      <c r="AE128" s="101" t="n">
        <v>300</v>
      </c>
      <c r="AF128" s="101" t="n">
        <v>150</v>
      </c>
      <c r="AG128" s="101" t="n">
        <v>50</v>
      </c>
      <c r="AH128" s="101" t="n">
        <v>100</v>
      </c>
      <c r="AI128" s="101" t="n">
        <v>200</v>
      </c>
    </row>
    <row r="129" customFormat="false" ht="21.75" hidden="false" customHeight="true" outlineLevel="0" collapsed="false">
      <c r="B129" s="104"/>
      <c r="C129" s="83"/>
      <c r="D129" s="83"/>
      <c r="E129" s="83"/>
      <c r="F129" s="83"/>
      <c r="G129" s="83"/>
      <c r="H129" s="83"/>
      <c r="I129" s="83"/>
      <c r="J129" s="87" t="n">
        <v>10</v>
      </c>
      <c r="K129" s="88" t="n">
        <f aca="false">I128/1000*J129*(1+$K$8)</f>
        <v>196.966</v>
      </c>
      <c r="L129" s="89" t="n">
        <v>3</v>
      </c>
      <c r="M129" s="88" t="n">
        <f aca="false">$L$8*L129</f>
        <v>240</v>
      </c>
      <c r="N129" s="88" t="n">
        <f aca="false">SUM(K129:M129)*0.1</f>
        <v>43.9966</v>
      </c>
      <c r="O129" s="90" t="n">
        <f aca="false">SUM(K129+M129+N129)</f>
        <v>480.9626</v>
      </c>
      <c r="P129" s="91" t="n">
        <v>1000</v>
      </c>
      <c r="Q129" s="92" t="n">
        <v>1700</v>
      </c>
      <c r="R129" s="93" t="n">
        <f aca="false">(Q129-O129)/Q129</f>
        <v>0.717080823529412</v>
      </c>
      <c r="S129" s="102" t="n">
        <f aca="false">Q129/J129*1000</f>
        <v>170000</v>
      </c>
      <c r="T129" s="105"/>
      <c r="U129" s="127"/>
      <c r="V129" s="130"/>
      <c r="W129" s="98" t="n">
        <f aca="false">S129*(1-$W$8)</f>
        <v>170000</v>
      </c>
      <c r="X129" s="98" t="n">
        <f aca="false">S129*(1-$X$8)</f>
        <v>153000</v>
      </c>
      <c r="Y129" s="98" t="n">
        <f aca="false">S129*(1-$Y$8)</f>
        <v>144500</v>
      </c>
      <c r="Z129" s="98" t="n">
        <f aca="false">S129*(1-$Z$8)</f>
        <v>136000</v>
      </c>
      <c r="AA129" s="98" t="n">
        <f aca="false">Q129*(1-$AA$8)</f>
        <v>1360</v>
      </c>
      <c r="AB129" s="93" t="n">
        <f aca="false">(AA129-O129)/AA129</f>
        <v>0.646351029411765</v>
      </c>
      <c r="AC129" s="104" t="s">
        <v>132</v>
      </c>
      <c r="AD129" s="101" t="n">
        <v>600</v>
      </c>
      <c r="AE129" s="101" t="n">
        <v>300</v>
      </c>
      <c r="AF129" s="101" t="n">
        <v>150</v>
      </c>
      <c r="AG129" s="101" t="n">
        <v>50</v>
      </c>
      <c r="AH129" s="101" t="n">
        <v>100</v>
      </c>
      <c r="AI129" s="101" t="n">
        <v>200</v>
      </c>
    </row>
    <row r="130" customFormat="false" ht="21.75" hidden="false" customHeight="true" outlineLevel="0" collapsed="false">
      <c r="B130" s="104"/>
      <c r="C130" s="108" t="s">
        <v>154</v>
      </c>
      <c r="D130" s="83" t="s">
        <v>129</v>
      </c>
      <c r="E130" s="84" t="n">
        <v>61.5</v>
      </c>
      <c r="F130" s="84" t="n">
        <v>50</v>
      </c>
      <c r="G130" s="84" t="n">
        <f aca="false">E130*$G$8</f>
        <v>11.07</v>
      </c>
      <c r="H130" s="84" t="n">
        <f aca="false">SUM(E130:G130)</f>
        <v>122.57</v>
      </c>
      <c r="I130" s="126" t="n">
        <f aca="false">H130*200</f>
        <v>24514</v>
      </c>
      <c r="J130" s="87" t="n">
        <v>5</v>
      </c>
      <c r="K130" s="88" t="n">
        <f aca="false">I130/1000*J130*(1+$K$8)</f>
        <v>134.827</v>
      </c>
      <c r="L130" s="89" t="n">
        <v>3</v>
      </c>
      <c r="M130" s="88" t="n">
        <f aca="false">$L$8*L130</f>
        <v>240</v>
      </c>
      <c r="N130" s="88" t="n">
        <f aca="false">SUM(K130:M130)*0.1</f>
        <v>37.7827</v>
      </c>
      <c r="O130" s="90" t="n">
        <f aca="false">SUM(K130+M130+N130)</f>
        <v>412.6097</v>
      </c>
      <c r="P130" s="91" t="n">
        <v>1000</v>
      </c>
      <c r="Q130" s="92" t="n">
        <v>1200</v>
      </c>
      <c r="R130" s="93" t="n">
        <f aca="false">(Q130-O130)/Q130</f>
        <v>0.656158583333333</v>
      </c>
      <c r="S130" s="102" t="n">
        <f aca="false">Q130/J130*1000</f>
        <v>240000</v>
      </c>
      <c r="T130" s="107"/>
      <c r="U130" s="127" t="n">
        <v>160000</v>
      </c>
      <c r="V130" s="128"/>
      <c r="W130" s="98" t="n">
        <f aca="false">S130*(1-$W$8)</f>
        <v>240000</v>
      </c>
      <c r="X130" s="98" t="n">
        <f aca="false">S130*(1-$X$8)</f>
        <v>216000</v>
      </c>
      <c r="Y130" s="98" t="n">
        <f aca="false">S130*(1-$Y$8)</f>
        <v>204000</v>
      </c>
      <c r="Z130" s="98" t="n">
        <f aca="false">S130*(1-$Z$8)</f>
        <v>192000</v>
      </c>
      <c r="AA130" s="98" t="n">
        <f aca="false">Q130*(1-$AA$8)</f>
        <v>960</v>
      </c>
      <c r="AB130" s="93" t="n">
        <f aca="false">(AA130-O130)/AA130</f>
        <v>0.570198229166667</v>
      </c>
      <c r="AC130" s="104" t="s">
        <v>132</v>
      </c>
      <c r="AD130" s="101" t="n">
        <v>550</v>
      </c>
      <c r="AE130" s="101" t="n">
        <v>300</v>
      </c>
      <c r="AF130" s="101" t="n">
        <v>150</v>
      </c>
      <c r="AG130" s="101" t="n">
        <v>50</v>
      </c>
      <c r="AH130" s="101" t="n">
        <v>100</v>
      </c>
      <c r="AI130" s="101" t="n">
        <v>200</v>
      </c>
    </row>
    <row r="131" customFormat="false" ht="21.75" hidden="false" customHeight="true" outlineLevel="0" collapsed="false">
      <c r="B131" s="104"/>
      <c r="C131" s="104"/>
      <c r="D131" s="104"/>
      <c r="E131" s="104"/>
      <c r="F131" s="104"/>
      <c r="G131" s="104"/>
      <c r="H131" s="104"/>
      <c r="I131" s="104"/>
      <c r="J131" s="87" t="n">
        <v>10</v>
      </c>
      <c r="K131" s="88" t="n">
        <f aca="false">I130/1000*J131*(1+$K$8)</f>
        <v>269.654</v>
      </c>
      <c r="L131" s="89" t="n">
        <v>3</v>
      </c>
      <c r="M131" s="88" t="n">
        <f aca="false">$L$8*L131</f>
        <v>240</v>
      </c>
      <c r="N131" s="88" t="n">
        <f aca="false">SUM(K131:M131)*0.1</f>
        <v>51.2654</v>
      </c>
      <c r="O131" s="90" t="n">
        <f aca="false">SUM(K131+M131+N131)</f>
        <v>560.9194</v>
      </c>
      <c r="P131" s="91" t="n">
        <v>1000</v>
      </c>
      <c r="Q131" s="92" t="n">
        <v>1700</v>
      </c>
      <c r="R131" s="93" t="n">
        <f aca="false">(Q131-O131)/Q131</f>
        <v>0.670047411764706</v>
      </c>
      <c r="S131" s="102" t="n">
        <f aca="false">Q131/J131*1000</f>
        <v>170000</v>
      </c>
      <c r="T131" s="105"/>
      <c r="U131" s="127"/>
      <c r="V131" s="130"/>
      <c r="W131" s="98" t="n">
        <f aca="false">S131*(1-$W$8)</f>
        <v>170000</v>
      </c>
      <c r="X131" s="98" t="n">
        <f aca="false">S131*(1-$X$8)</f>
        <v>153000</v>
      </c>
      <c r="Y131" s="98" t="n">
        <f aca="false">S131*(1-$Y$8)</f>
        <v>144500</v>
      </c>
      <c r="Z131" s="98" t="n">
        <f aca="false">S131*(1-$Z$8)</f>
        <v>136000</v>
      </c>
      <c r="AA131" s="98" t="n">
        <f aca="false">Q131*(1-$AA$8)</f>
        <v>1360</v>
      </c>
      <c r="AB131" s="93" t="n">
        <f aca="false">(AA131-O131)/AA131</f>
        <v>0.587559264705882</v>
      </c>
      <c r="AC131" s="104" t="s">
        <v>132</v>
      </c>
      <c r="AD131" s="101" t="n">
        <v>600</v>
      </c>
      <c r="AE131" s="101" t="n">
        <v>300</v>
      </c>
      <c r="AF131" s="101" t="n">
        <v>150</v>
      </c>
      <c r="AG131" s="101" t="n">
        <v>50</v>
      </c>
      <c r="AH131" s="101" t="n">
        <v>100</v>
      </c>
      <c r="AI131" s="101" t="n">
        <v>200</v>
      </c>
    </row>
    <row r="132" customFormat="false" ht="34.5" hidden="false" customHeight="true" outlineLevel="0" collapsed="false">
      <c r="B132" s="51" t="s">
        <v>155</v>
      </c>
      <c r="C132" s="54"/>
      <c r="D132" s="54"/>
      <c r="E132" s="54"/>
      <c r="F132" s="54"/>
      <c r="K132" s="55"/>
    </row>
    <row r="133" customFormat="false" ht="21.75" hidden="false" customHeight="true" outlineLevel="0" collapsed="false">
      <c r="K133" s="56"/>
      <c r="M133" s="47" t="s">
        <v>89</v>
      </c>
      <c r="Q133" s="57" t="s">
        <v>90</v>
      </c>
      <c r="U133" s="57" t="s">
        <v>91</v>
      </c>
      <c r="V133" s="47"/>
      <c r="W133" s="58" t="s">
        <v>92</v>
      </c>
      <c r="X133" s="58"/>
      <c r="Y133" s="58"/>
      <c r="Z133" s="58"/>
      <c r="AA133" s="59"/>
      <c r="AB133" s="59"/>
      <c r="AD133" s="60" t="s">
        <v>93</v>
      </c>
      <c r="AE133" s="60"/>
      <c r="AF133" s="60"/>
      <c r="AG133" s="60"/>
      <c r="AH133" s="60"/>
      <c r="AI133" s="60"/>
    </row>
    <row r="134" customFormat="false" ht="21.75" hidden="false" customHeight="true" outlineLevel="0" collapsed="false">
      <c r="B134" s="61" t="s">
        <v>94</v>
      </c>
      <c r="C134" s="61" t="s">
        <v>8</v>
      </c>
      <c r="D134" s="61" t="s">
        <v>95</v>
      </c>
      <c r="E134" s="62" t="s">
        <v>96</v>
      </c>
      <c r="F134" s="62" t="s">
        <v>97</v>
      </c>
      <c r="G134" s="62" t="s">
        <v>98</v>
      </c>
      <c r="H134" s="62" t="s">
        <v>99</v>
      </c>
      <c r="I134" s="62" t="s">
        <v>100</v>
      </c>
      <c r="J134" s="63" t="s">
        <v>101</v>
      </c>
      <c r="K134" s="64" t="s">
        <v>102</v>
      </c>
      <c r="L134" s="64" t="s">
        <v>103</v>
      </c>
      <c r="M134" s="64" t="s">
        <v>104</v>
      </c>
      <c r="N134" s="63" t="s">
        <v>105</v>
      </c>
      <c r="O134" s="64" t="s">
        <v>106</v>
      </c>
      <c r="P134" s="65" t="s">
        <v>107</v>
      </c>
      <c r="Q134" s="66" t="s">
        <v>108</v>
      </c>
      <c r="R134" s="67" t="s">
        <v>14</v>
      </c>
      <c r="S134" s="68" t="s">
        <v>109</v>
      </c>
      <c r="T134" s="69" t="s">
        <v>110</v>
      </c>
      <c r="U134" s="70" t="s">
        <v>111</v>
      </c>
      <c r="V134" s="71"/>
      <c r="W134" s="72" t="s">
        <v>112</v>
      </c>
      <c r="X134" s="72" t="s">
        <v>113</v>
      </c>
      <c r="Y134" s="72" t="s">
        <v>114</v>
      </c>
      <c r="Z134" s="72" t="s">
        <v>115</v>
      </c>
      <c r="AA134" s="72" t="s">
        <v>115</v>
      </c>
      <c r="AB134" s="62" t="s">
        <v>116</v>
      </c>
      <c r="AC134" s="62" t="s">
        <v>117</v>
      </c>
      <c r="AD134" s="60" t="s">
        <v>4</v>
      </c>
      <c r="AE134" s="60" t="s">
        <v>21</v>
      </c>
      <c r="AF134" s="60" t="s">
        <v>22</v>
      </c>
      <c r="AG134" s="60" t="s">
        <v>118</v>
      </c>
      <c r="AH134" s="60" t="s">
        <v>119</v>
      </c>
      <c r="AI134" s="60" t="s">
        <v>25</v>
      </c>
    </row>
    <row r="135" customFormat="false" ht="21.75" hidden="false" customHeight="true" outlineLevel="0" collapsed="false">
      <c r="B135" s="61"/>
      <c r="C135" s="61"/>
      <c r="D135" s="61"/>
      <c r="E135" s="61"/>
      <c r="F135" s="61"/>
      <c r="G135" s="62"/>
      <c r="H135" s="62"/>
      <c r="I135" s="62"/>
      <c r="J135" s="62"/>
      <c r="K135" s="64" t="s">
        <v>120</v>
      </c>
      <c r="L135" s="64" t="s">
        <v>121</v>
      </c>
      <c r="M135" s="73" t="s">
        <v>122</v>
      </c>
      <c r="N135" s="74" t="s">
        <v>123</v>
      </c>
      <c r="O135" s="74" t="s">
        <v>124</v>
      </c>
      <c r="P135" s="65"/>
      <c r="Q135" s="75" t="s">
        <v>125</v>
      </c>
      <c r="R135" s="76" t="s">
        <v>126</v>
      </c>
      <c r="S135" s="68"/>
      <c r="T135" s="69"/>
      <c r="U135" s="70"/>
      <c r="V135" s="77"/>
      <c r="W135" s="78" t="s">
        <v>127</v>
      </c>
      <c r="X135" s="78" t="s">
        <v>127</v>
      </c>
      <c r="Y135" s="78" t="s">
        <v>127</v>
      </c>
      <c r="Z135" s="78" t="s">
        <v>127</v>
      </c>
      <c r="AA135" s="78" t="s">
        <v>127</v>
      </c>
      <c r="AB135" s="78"/>
      <c r="AC135" s="62"/>
      <c r="AD135" s="62"/>
      <c r="AE135" s="62"/>
      <c r="AF135" s="62"/>
      <c r="AG135" s="62"/>
      <c r="AH135" s="60"/>
      <c r="AI135" s="60"/>
    </row>
    <row r="136" customFormat="false" ht="21.75" hidden="false" customHeight="true" outlineLevel="0" collapsed="false">
      <c r="B136" s="61"/>
      <c r="C136" s="61"/>
      <c r="D136" s="61"/>
      <c r="E136" s="61"/>
      <c r="F136" s="61"/>
      <c r="G136" s="79" t="n">
        <v>0.18</v>
      </c>
      <c r="H136" s="62"/>
      <c r="I136" s="62"/>
      <c r="J136" s="62"/>
      <c r="K136" s="80" t="n">
        <v>0.1</v>
      </c>
      <c r="L136" s="74" t="n">
        <v>80</v>
      </c>
      <c r="M136" s="73"/>
      <c r="N136" s="73"/>
      <c r="O136" s="73"/>
      <c r="P136" s="65"/>
      <c r="Q136" s="75"/>
      <c r="R136" s="76"/>
      <c r="S136" s="68"/>
      <c r="T136" s="69"/>
      <c r="U136" s="70"/>
      <c r="V136" s="81"/>
      <c r="W136" s="79" t="n">
        <v>0</v>
      </c>
      <c r="X136" s="79" t="n">
        <v>0.1</v>
      </c>
      <c r="Y136" s="79" t="n">
        <v>0.15</v>
      </c>
      <c r="Z136" s="79" t="n">
        <v>0.2</v>
      </c>
      <c r="AA136" s="79" t="n">
        <v>0.2</v>
      </c>
      <c r="AB136" s="79"/>
      <c r="AC136" s="62"/>
      <c r="AD136" s="62"/>
      <c r="AE136" s="62"/>
      <c r="AF136" s="62"/>
      <c r="AG136" s="62"/>
      <c r="AH136" s="60"/>
      <c r="AI136" s="60"/>
    </row>
    <row r="137" customFormat="false" ht="21.75" hidden="false" customHeight="true" outlineLevel="0" collapsed="false">
      <c r="B137" s="104" t="s">
        <v>69</v>
      </c>
      <c r="C137" s="108" t="s">
        <v>156</v>
      </c>
      <c r="D137" s="83" t="s">
        <v>129</v>
      </c>
      <c r="E137" s="84" t="n">
        <v>50</v>
      </c>
      <c r="F137" s="84" t="n">
        <v>50</v>
      </c>
      <c r="G137" s="84" t="n">
        <f aca="false">E137*$G$8</f>
        <v>9</v>
      </c>
      <c r="H137" s="84" t="n">
        <f aca="false">SUM(E137:G137)</f>
        <v>109</v>
      </c>
      <c r="I137" s="126" t="n">
        <f aca="false">H137*200</f>
        <v>21800</v>
      </c>
      <c r="J137" s="87" t="n">
        <v>5</v>
      </c>
      <c r="K137" s="88" t="n">
        <f aca="false">I137/1000*J137*(1+$K$8)</f>
        <v>119.9</v>
      </c>
      <c r="L137" s="89" t="n">
        <v>3.5</v>
      </c>
      <c r="M137" s="88" t="n">
        <f aca="false">$L$8*L137</f>
        <v>280</v>
      </c>
      <c r="N137" s="88" t="n">
        <f aca="false">SUM(K137:M137)*0.1</f>
        <v>40.34</v>
      </c>
      <c r="O137" s="90" t="n">
        <f aca="false">SUM(K137+M137+N137)</f>
        <v>440.24</v>
      </c>
      <c r="P137" s="91" t="n">
        <v>500</v>
      </c>
      <c r="Q137" s="92" t="n">
        <v>1800</v>
      </c>
      <c r="R137" s="93" t="n">
        <f aca="false">(Q137-O137)/Q137</f>
        <v>0.755422222222222</v>
      </c>
      <c r="S137" s="102" t="n">
        <f aca="false">Q137/J137*1000</f>
        <v>360000</v>
      </c>
      <c r="T137" s="136" t="n">
        <f aca="false">AVERAGE(S137:S141)</f>
        <v>206000</v>
      </c>
      <c r="U137" s="127" t="n">
        <v>160000</v>
      </c>
      <c r="V137" s="128" t="n">
        <f aca="false">U137/1000*J137</f>
        <v>800</v>
      </c>
      <c r="W137" s="98" t="n">
        <f aca="false">S137*(1-$W$8)</f>
        <v>360000</v>
      </c>
      <c r="X137" s="98" t="n">
        <f aca="false">S137*(1-$X$8)</f>
        <v>324000</v>
      </c>
      <c r="Y137" s="98" t="n">
        <f aca="false">S137*(1-$Y$8)</f>
        <v>306000</v>
      </c>
      <c r="Z137" s="98" t="n">
        <f aca="false">S137*(1-$Z$8)</f>
        <v>288000</v>
      </c>
      <c r="AA137" s="98" t="n">
        <f aca="false">Q137*(1-$AA$8)</f>
        <v>1440</v>
      </c>
      <c r="AB137" s="93" t="n">
        <f aca="false">(AA137-O137)/AA137</f>
        <v>0.694277777777778</v>
      </c>
      <c r="AC137" s="104" t="s">
        <v>157</v>
      </c>
      <c r="AD137" s="101" t="n">
        <v>200</v>
      </c>
      <c r="AE137" s="101" t="n">
        <v>300</v>
      </c>
      <c r="AF137" s="101" t="n">
        <v>150</v>
      </c>
      <c r="AG137" s="101" t="n">
        <v>50</v>
      </c>
      <c r="AH137" s="101" t="n">
        <v>100</v>
      </c>
      <c r="AI137" s="101" t="n">
        <v>200</v>
      </c>
    </row>
    <row r="138" customFormat="false" ht="21.75" hidden="false" customHeight="true" outlineLevel="0" collapsed="false">
      <c r="B138" s="104"/>
      <c r="C138" s="104"/>
      <c r="D138" s="104"/>
      <c r="E138" s="104"/>
      <c r="F138" s="104"/>
      <c r="G138" s="104"/>
      <c r="H138" s="104"/>
      <c r="I138" s="104"/>
      <c r="J138" s="87" t="n">
        <v>10</v>
      </c>
      <c r="K138" s="88" t="n">
        <f aca="false">I137/1000*J138*(1+$K$8)</f>
        <v>239.8</v>
      </c>
      <c r="L138" s="89" t="n">
        <v>3.5</v>
      </c>
      <c r="M138" s="88" t="n">
        <f aca="false">$L$8*L138</f>
        <v>280</v>
      </c>
      <c r="N138" s="88" t="n">
        <f aca="false">SUM(K138:M138)*0.1</f>
        <v>52.33</v>
      </c>
      <c r="O138" s="90" t="n">
        <f aca="false">SUM(K138+M138+N138)</f>
        <v>572.13</v>
      </c>
      <c r="P138" s="91" t="n">
        <v>500</v>
      </c>
      <c r="Q138" s="92" t="n">
        <v>2200</v>
      </c>
      <c r="R138" s="93" t="n">
        <f aca="false">(Q138-O138)/Q138</f>
        <v>0.739940909090909</v>
      </c>
      <c r="S138" s="102" t="n">
        <f aca="false">Q138/J138*1000</f>
        <v>220000</v>
      </c>
      <c r="T138" s="136"/>
      <c r="U138" s="127"/>
      <c r="V138" s="128" t="n">
        <f aca="false">U137/1000*J138</f>
        <v>1600</v>
      </c>
      <c r="W138" s="98" t="n">
        <f aca="false">S138*(1-$W$8)</f>
        <v>220000</v>
      </c>
      <c r="X138" s="98" t="n">
        <f aca="false">S138*(1-$X$8)</f>
        <v>198000</v>
      </c>
      <c r="Y138" s="98" t="n">
        <f aca="false">S138*(1-$Y$8)</f>
        <v>187000</v>
      </c>
      <c r="Z138" s="98" t="n">
        <f aca="false">S138*(1-$Z$8)</f>
        <v>176000</v>
      </c>
      <c r="AA138" s="98" t="n">
        <f aca="false">Q138*(1-$AA$8)</f>
        <v>1760</v>
      </c>
      <c r="AB138" s="93" t="n">
        <f aca="false">(AA138-O138)/AA138</f>
        <v>0.674926136363636</v>
      </c>
      <c r="AC138" s="104" t="s">
        <v>157</v>
      </c>
      <c r="AD138" s="101" t="n">
        <v>200</v>
      </c>
      <c r="AE138" s="101" t="n">
        <v>300</v>
      </c>
      <c r="AF138" s="101" t="n">
        <v>150</v>
      </c>
      <c r="AG138" s="101" t="n">
        <v>50</v>
      </c>
      <c r="AH138" s="101" t="n">
        <v>100</v>
      </c>
      <c r="AI138" s="101" t="n">
        <v>200</v>
      </c>
    </row>
    <row r="139" customFormat="false" ht="21.75" hidden="false" customHeight="true" outlineLevel="0" collapsed="false">
      <c r="B139" s="104"/>
      <c r="C139" s="104"/>
      <c r="D139" s="104"/>
      <c r="E139" s="104"/>
      <c r="F139" s="104"/>
      <c r="G139" s="104"/>
      <c r="H139" s="104"/>
      <c r="I139" s="104"/>
      <c r="J139" s="87" t="n">
        <v>15</v>
      </c>
      <c r="K139" s="88" t="n">
        <f aca="false">I137/1000*J139*(1+$K$8)</f>
        <v>359.7</v>
      </c>
      <c r="L139" s="89" t="n">
        <v>3</v>
      </c>
      <c r="M139" s="88" t="n">
        <f aca="false">$L$8*L139</f>
        <v>240</v>
      </c>
      <c r="N139" s="88" t="n">
        <f aca="false">SUM(K139:M139)*0.1</f>
        <v>60.27</v>
      </c>
      <c r="O139" s="90" t="n">
        <f aca="false">SUM(K139+M139+N139)</f>
        <v>659.97</v>
      </c>
      <c r="P139" s="91" t="n">
        <v>500</v>
      </c>
      <c r="Q139" s="92" t="n">
        <v>2600</v>
      </c>
      <c r="R139" s="93" t="n">
        <f aca="false">(Q139-O139)/Q139</f>
        <v>0.746165384615385</v>
      </c>
      <c r="S139" s="102" t="n">
        <f aca="false">Q139/J139*1000</f>
        <v>173333.333333333</v>
      </c>
      <c r="T139" s="136"/>
      <c r="U139" s="127"/>
      <c r="V139" s="128" t="n">
        <f aca="false">U137/1000*J139</f>
        <v>2400</v>
      </c>
      <c r="W139" s="98" t="n">
        <f aca="false">S139*(1-$W$8)</f>
        <v>173333.333333333</v>
      </c>
      <c r="X139" s="98" t="n">
        <f aca="false">S139*(1-$X$8)</f>
        <v>156000</v>
      </c>
      <c r="Y139" s="98" t="n">
        <f aca="false">S139*(1-$Y$8)</f>
        <v>147333.333333333</v>
      </c>
      <c r="Z139" s="98" t="n">
        <f aca="false">S139*(1-$Z$8)</f>
        <v>138666.666666667</v>
      </c>
      <c r="AA139" s="98" t="n">
        <f aca="false">Q139*(1-$AA$8)</f>
        <v>2080</v>
      </c>
      <c r="AB139" s="93" t="n">
        <f aca="false">(AA139-O139)/AA139</f>
        <v>0.682706730769231</v>
      </c>
      <c r="AC139" s="104" t="s">
        <v>157</v>
      </c>
      <c r="AD139" s="101" t="n">
        <v>200</v>
      </c>
      <c r="AE139" s="101" t="n">
        <v>300</v>
      </c>
      <c r="AF139" s="101" t="n">
        <v>150</v>
      </c>
      <c r="AG139" s="101" t="n">
        <v>50</v>
      </c>
      <c r="AH139" s="101" t="n">
        <v>100</v>
      </c>
      <c r="AI139" s="101" t="n">
        <v>200</v>
      </c>
    </row>
    <row r="140" customFormat="false" ht="21.75" hidden="false" customHeight="true" outlineLevel="0" collapsed="false">
      <c r="B140" s="104"/>
      <c r="C140" s="104"/>
      <c r="D140" s="104"/>
      <c r="E140" s="104"/>
      <c r="F140" s="104"/>
      <c r="G140" s="104"/>
      <c r="H140" s="104"/>
      <c r="I140" s="104"/>
      <c r="J140" s="87" t="n">
        <v>20</v>
      </c>
      <c r="K140" s="88" t="n">
        <f aca="false">I137/1000*J140*(1+$K$8)</f>
        <v>479.6</v>
      </c>
      <c r="L140" s="89" t="n">
        <v>3</v>
      </c>
      <c r="M140" s="88" t="n">
        <f aca="false">$L$8*L140</f>
        <v>240</v>
      </c>
      <c r="N140" s="88" t="n">
        <f aca="false">SUM(K140:M140)*0.1</f>
        <v>72.26</v>
      </c>
      <c r="O140" s="90" t="n">
        <f aca="false">SUM(K140+M140+N140)</f>
        <v>791.86</v>
      </c>
      <c r="P140" s="91" t="n">
        <v>500</v>
      </c>
      <c r="Q140" s="92" t="n">
        <v>3000</v>
      </c>
      <c r="R140" s="93" t="n">
        <f aca="false">(Q140-O140)/Q140</f>
        <v>0.736046666666667</v>
      </c>
      <c r="S140" s="102" t="n">
        <f aca="false">Q140/J140*1000</f>
        <v>150000</v>
      </c>
      <c r="T140" s="136"/>
      <c r="U140" s="127"/>
      <c r="V140" s="128" t="n">
        <f aca="false">U137/1000*J140</f>
        <v>3200</v>
      </c>
      <c r="W140" s="98" t="n">
        <f aca="false">S140*(1-$W$8)</f>
        <v>150000</v>
      </c>
      <c r="X140" s="98" t="n">
        <f aca="false">S140*(1-$X$8)</f>
        <v>135000</v>
      </c>
      <c r="Y140" s="98" t="n">
        <f aca="false">S140*(1-$Y$8)</f>
        <v>127500</v>
      </c>
      <c r="Z140" s="98" t="n">
        <f aca="false">S140*(1-$Z$8)</f>
        <v>120000</v>
      </c>
      <c r="AA140" s="98" t="n">
        <f aca="false">Q140*(1-$AA$8)</f>
        <v>2400</v>
      </c>
      <c r="AB140" s="93" t="n">
        <f aca="false">(AA140-O140)/AA140</f>
        <v>0.670058333333333</v>
      </c>
      <c r="AC140" s="104" t="s">
        <v>157</v>
      </c>
      <c r="AD140" s="101" t="n">
        <v>200</v>
      </c>
      <c r="AE140" s="101" t="n">
        <v>300</v>
      </c>
      <c r="AF140" s="101" t="n">
        <v>150</v>
      </c>
      <c r="AG140" s="101" t="n">
        <v>50</v>
      </c>
      <c r="AH140" s="101" t="n">
        <v>100</v>
      </c>
      <c r="AI140" s="101" t="n">
        <v>200</v>
      </c>
    </row>
    <row r="141" customFormat="false" ht="21.75" hidden="false" customHeight="true" outlineLevel="0" collapsed="false">
      <c r="B141" s="104"/>
      <c r="C141" s="108"/>
      <c r="D141" s="108"/>
      <c r="E141" s="108"/>
      <c r="F141" s="108"/>
      <c r="G141" s="108"/>
      <c r="H141" s="108"/>
      <c r="I141" s="108"/>
      <c r="J141" s="87" t="n">
        <v>30</v>
      </c>
      <c r="K141" s="88" t="n">
        <f aca="false">I137/1000*J141*(1+$K$8)</f>
        <v>719.4</v>
      </c>
      <c r="L141" s="89" t="n">
        <v>3</v>
      </c>
      <c r="M141" s="88" t="n">
        <f aca="false">$L$8*L141</f>
        <v>240</v>
      </c>
      <c r="N141" s="88" t="n">
        <f aca="false">SUM(K141:M141)*0.1</f>
        <v>96.24</v>
      </c>
      <c r="O141" s="90" t="n">
        <f aca="false">SUM(K141+M141+N141)</f>
        <v>1055.64</v>
      </c>
      <c r="P141" s="91" t="n">
        <v>500</v>
      </c>
      <c r="Q141" s="92" t="n">
        <v>3800</v>
      </c>
      <c r="R141" s="93" t="n">
        <f aca="false">(Q141-O141)/Q141</f>
        <v>0.7222</v>
      </c>
      <c r="S141" s="102" t="n">
        <f aca="false">Q141/J141*1000</f>
        <v>126666.666666667</v>
      </c>
      <c r="T141" s="136"/>
      <c r="U141" s="127"/>
      <c r="V141" s="128" t="n">
        <f aca="false">U137/1000*J141</f>
        <v>4800</v>
      </c>
      <c r="W141" s="98" t="n">
        <f aca="false">S141*(1-$W$8)</f>
        <v>126666.666666667</v>
      </c>
      <c r="X141" s="98" t="n">
        <f aca="false">S141*(1-$X$8)</f>
        <v>114000</v>
      </c>
      <c r="Y141" s="98" t="n">
        <f aca="false">S141*(1-$Y$8)</f>
        <v>107666.666666667</v>
      </c>
      <c r="Z141" s="98" t="n">
        <f aca="false">S141*(1-$Z$8)</f>
        <v>101333.333333333</v>
      </c>
      <c r="AA141" s="98" t="n">
        <f aca="false">Q141*(1-$AA$8)</f>
        <v>3040</v>
      </c>
      <c r="AB141" s="93" t="n">
        <f aca="false">(AA141-O141)/AA141</f>
        <v>0.65275</v>
      </c>
      <c r="AC141" s="104" t="s">
        <v>157</v>
      </c>
      <c r="AD141" s="101" t="n">
        <v>200</v>
      </c>
      <c r="AE141" s="101" t="n">
        <v>300</v>
      </c>
      <c r="AF141" s="101" t="n">
        <v>150</v>
      </c>
      <c r="AG141" s="101" t="n">
        <v>50</v>
      </c>
      <c r="AH141" s="101" t="n">
        <v>100</v>
      </c>
      <c r="AI141" s="101" t="n">
        <v>200</v>
      </c>
    </row>
    <row r="142" customFormat="false" ht="21.75" hidden="false" customHeight="true" outlineLevel="0" collapsed="false">
      <c r="B142" s="104"/>
      <c r="C142" s="108" t="s">
        <v>158</v>
      </c>
      <c r="D142" s="83" t="s">
        <v>129</v>
      </c>
      <c r="E142" s="84" t="n">
        <v>50</v>
      </c>
      <c r="F142" s="84" t="n">
        <v>50</v>
      </c>
      <c r="G142" s="84" t="n">
        <f aca="false">E142*$G$8</f>
        <v>9</v>
      </c>
      <c r="H142" s="84" t="n">
        <f aca="false">SUM(E142:G142)</f>
        <v>109</v>
      </c>
      <c r="I142" s="126" t="n">
        <f aca="false">H142*200</f>
        <v>21800</v>
      </c>
      <c r="J142" s="87" t="n">
        <v>5</v>
      </c>
      <c r="K142" s="88" t="n">
        <f aca="false">I142/1000*J142*(1+$K$8)</f>
        <v>119.9</v>
      </c>
      <c r="L142" s="89" t="n">
        <v>3.5</v>
      </c>
      <c r="M142" s="88" t="n">
        <f aca="false">$L$8*L142</f>
        <v>280</v>
      </c>
      <c r="N142" s="88" t="n">
        <f aca="false">SUM(K142:M142)*0.1</f>
        <v>40.34</v>
      </c>
      <c r="O142" s="90" t="n">
        <f aca="false">SUM(K142+M142+N142)</f>
        <v>440.24</v>
      </c>
      <c r="P142" s="91" t="n">
        <v>500</v>
      </c>
      <c r="Q142" s="92" t="n">
        <v>1800</v>
      </c>
      <c r="R142" s="93" t="n">
        <f aca="false">(Q142-O142)/Q142</f>
        <v>0.755422222222222</v>
      </c>
      <c r="S142" s="102" t="n">
        <f aca="false">Q142/J142*1000</f>
        <v>360000</v>
      </c>
      <c r="T142" s="136" t="n">
        <f aca="false">AVERAGE(S142:S146)</f>
        <v>206000</v>
      </c>
      <c r="U142" s="127" t="n">
        <v>160000</v>
      </c>
      <c r="V142" s="128"/>
      <c r="W142" s="98" t="n">
        <f aca="false">S142*(1-$W$8)</f>
        <v>360000</v>
      </c>
      <c r="X142" s="98" t="n">
        <f aca="false">S142*(1-$X$8)</f>
        <v>324000</v>
      </c>
      <c r="Y142" s="98" t="n">
        <f aca="false">S142*(1-$Y$8)</f>
        <v>306000</v>
      </c>
      <c r="Z142" s="98" t="n">
        <f aca="false">S142*(1-$Z$8)</f>
        <v>288000</v>
      </c>
      <c r="AA142" s="98" t="n">
        <f aca="false">Q142*(1-$AA$8)</f>
        <v>1440</v>
      </c>
      <c r="AB142" s="93" t="n">
        <f aca="false">(AA142-O142)/AA142</f>
        <v>0.694277777777778</v>
      </c>
      <c r="AC142" s="104" t="s">
        <v>157</v>
      </c>
      <c r="AD142" s="101" t="n">
        <v>200</v>
      </c>
      <c r="AE142" s="101" t="n">
        <v>300</v>
      </c>
      <c r="AF142" s="101" t="n">
        <v>150</v>
      </c>
      <c r="AG142" s="101" t="n">
        <v>50</v>
      </c>
      <c r="AH142" s="101" t="n">
        <v>100</v>
      </c>
      <c r="AI142" s="101" t="n">
        <v>200</v>
      </c>
    </row>
    <row r="143" customFormat="false" ht="21.75" hidden="false" customHeight="true" outlineLevel="0" collapsed="false">
      <c r="B143" s="104"/>
      <c r="C143" s="104"/>
      <c r="D143" s="104"/>
      <c r="E143" s="104"/>
      <c r="F143" s="104"/>
      <c r="G143" s="104"/>
      <c r="H143" s="104"/>
      <c r="I143" s="104"/>
      <c r="J143" s="87" t="n">
        <v>10</v>
      </c>
      <c r="K143" s="88" t="n">
        <f aca="false">I142/1000*J143*(1+$K$8)</f>
        <v>239.8</v>
      </c>
      <c r="L143" s="89" t="n">
        <v>3.5</v>
      </c>
      <c r="M143" s="88" t="n">
        <f aca="false">$L$8*L143</f>
        <v>280</v>
      </c>
      <c r="N143" s="88" t="n">
        <f aca="false">SUM(K143:M143)*0.1</f>
        <v>52.33</v>
      </c>
      <c r="O143" s="90" t="n">
        <f aca="false">SUM(K143+M143+N143)</f>
        <v>572.13</v>
      </c>
      <c r="P143" s="91" t="n">
        <v>500</v>
      </c>
      <c r="Q143" s="92" t="n">
        <v>2200</v>
      </c>
      <c r="R143" s="93" t="n">
        <f aca="false">(Q143-O143)/Q143</f>
        <v>0.739940909090909</v>
      </c>
      <c r="S143" s="102" t="n">
        <f aca="false">Q143/J143*1000</f>
        <v>220000</v>
      </c>
      <c r="T143" s="136"/>
      <c r="U143" s="127"/>
      <c r="V143" s="129"/>
      <c r="W143" s="98" t="n">
        <f aca="false">S143*(1-$W$8)</f>
        <v>220000</v>
      </c>
      <c r="X143" s="98" t="n">
        <f aca="false">S143*(1-$X$8)</f>
        <v>198000</v>
      </c>
      <c r="Y143" s="98" t="n">
        <f aca="false">S143*(1-$Y$8)</f>
        <v>187000</v>
      </c>
      <c r="Z143" s="98" t="n">
        <f aca="false">S143*(1-$Z$8)</f>
        <v>176000</v>
      </c>
      <c r="AA143" s="98" t="n">
        <f aca="false">Q143*(1-$AA$8)</f>
        <v>1760</v>
      </c>
      <c r="AB143" s="93" t="n">
        <f aca="false">(AA143-O143)/AA143</f>
        <v>0.674926136363636</v>
      </c>
      <c r="AC143" s="104" t="s">
        <v>157</v>
      </c>
      <c r="AD143" s="101" t="n">
        <v>200</v>
      </c>
      <c r="AE143" s="101" t="n">
        <v>300</v>
      </c>
      <c r="AF143" s="101" t="n">
        <v>150</v>
      </c>
      <c r="AG143" s="101" t="n">
        <v>50</v>
      </c>
      <c r="AH143" s="101" t="n">
        <v>100</v>
      </c>
      <c r="AI143" s="101" t="n">
        <v>200</v>
      </c>
    </row>
    <row r="144" customFormat="false" ht="21.75" hidden="false" customHeight="true" outlineLevel="0" collapsed="false">
      <c r="B144" s="104"/>
      <c r="C144" s="104"/>
      <c r="D144" s="104"/>
      <c r="E144" s="104"/>
      <c r="F144" s="104"/>
      <c r="G144" s="104"/>
      <c r="H144" s="104"/>
      <c r="I144" s="104"/>
      <c r="J144" s="87" t="n">
        <v>15</v>
      </c>
      <c r="K144" s="88" t="n">
        <f aca="false">I142/1000*J144*(1+$K$8)</f>
        <v>359.7</v>
      </c>
      <c r="L144" s="89" t="n">
        <v>3</v>
      </c>
      <c r="M144" s="88" t="n">
        <f aca="false">$L$8*L144</f>
        <v>240</v>
      </c>
      <c r="N144" s="88" t="n">
        <f aca="false">SUM(K144:M144)*0.1</f>
        <v>60.27</v>
      </c>
      <c r="O144" s="90" t="n">
        <f aca="false">SUM(K144+M144+N144)</f>
        <v>659.97</v>
      </c>
      <c r="P144" s="91" t="n">
        <v>500</v>
      </c>
      <c r="Q144" s="92" t="n">
        <v>2600</v>
      </c>
      <c r="R144" s="93" t="n">
        <f aca="false">(Q144-O144)/Q144</f>
        <v>0.746165384615385</v>
      </c>
      <c r="S144" s="102" t="n">
        <f aca="false">Q144/J144*1000</f>
        <v>173333.333333333</v>
      </c>
      <c r="T144" s="136"/>
      <c r="U144" s="127"/>
      <c r="V144" s="129"/>
      <c r="W144" s="98" t="n">
        <f aca="false">S144*(1-$W$8)</f>
        <v>173333.333333333</v>
      </c>
      <c r="X144" s="98" t="n">
        <f aca="false">S144*(1-$X$8)</f>
        <v>156000</v>
      </c>
      <c r="Y144" s="98" t="n">
        <f aca="false">S144*(1-$Y$8)</f>
        <v>147333.333333333</v>
      </c>
      <c r="Z144" s="98" t="n">
        <f aca="false">S144*(1-$Z$8)</f>
        <v>138666.666666667</v>
      </c>
      <c r="AA144" s="98" t="n">
        <f aca="false">Q144*(1-$AA$8)</f>
        <v>2080</v>
      </c>
      <c r="AB144" s="93" t="n">
        <f aca="false">(AA144-O144)/AA144</f>
        <v>0.682706730769231</v>
      </c>
      <c r="AC144" s="104" t="s">
        <v>157</v>
      </c>
      <c r="AD144" s="101" t="n">
        <v>200</v>
      </c>
      <c r="AE144" s="101" t="n">
        <v>300</v>
      </c>
      <c r="AF144" s="101" t="n">
        <v>150</v>
      </c>
      <c r="AG144" s="101" t="n">
        <v>50</v>
      </c>
      <c r="AH144" s="101" t="n">
        <v>100</v>
      </c>
      <c r="AI144" s="101" t="n">
        <v>200</v>
      </c>
    </row>
    <row r="145" customFormat="false" ht="21.75" hidden="false" customHeight="true" outlineLevel="0" collapsed="false">
      <c r="B145" s="104"/>
      <c r="C145" s="104"/>
      <c r="D145" s="104"/>
      <c r="E145" s="104"/>
      <c r="F145" s="104"/>
      <c r="G145" s="104"/>
      <c r="H145" s="104"/>
      <c r="I145" s="104"/>
      <c r="J145" s="87" t="n">
        <v>20</v>
      </c>
      <c r="K145" s="88" t="n">
        <f aca="false">I142/1000*J145*(1+$K$8)</f>
        <v>479.6</v>
      </c>
      <c r="L145" s="89" t="n">
        <v>3</v>
      </c>
      <c r="M145" s="88" t="n">
        <f aca="false">$L$8*L145</f>
        <v>240</v>
      </c>
      <c r="N145" s="88" t="n">
        <f aca="false">SUM(K145:M145)*0.1</f>
        <v>72.26</v>
      </c>
      <c r="O145" s="90" t="n">
        <f aca="false">SUM(K145+M145+N145)</f>
        <v>791.86</v>
      </c>
      <c r="P145" s="91" t="n">
        <v>500</v>
      </c>
      <c r="Q145" s="92" t="n">
        <v>3000</v>
      </c>
      <c r="R145" s="93" t="n">
        <f aca="false">(Q145-O145)/Q145</f>
        <v>0.736046666666667</v>
      </c>
      <c r="S145" s="102" t="n">
        <f aca="false">Q145/J145*1000</f>
        <v>150000</v>
      </c>
      <c r="T145" s="136"/>
      <c r="U145" s="127"/>
      <c r="V145" s="129"/>
      <c r="W145" s="98" t="n">
        <f aca="false">S145*(1-$W$8)</f>
        <v>150000</v>
      </c>
      <c r="X145" s="98" t="n">
        <f aca="false">S145*(1-$X$8)</f>
        <v>135000</v>
      </c>
      <c r="Y145" s="98" t="n">
        <f aca="false">S145*(1-$Y$8)</f>
        <v>127500</v>
      </c>
      <c r="Z145" s="98" t="n">
        <f aca="false">S145*(1-$Z$8)</f>
        <v>120000</v>
      </c>
      <c r="AA145" s="98" t="n">
        <f aca="false">Q145*(1-$AA$8)</f>
        <v>2400</v>
      </c>
      <c r="AB145" s="93" t="n">
        <f aca="false">(AA145-O145)/AA145</f>
        <v>0.670058333333333</v>
      </c>
      <c r="AC145" s="104" t="s">
        <v>157</v>
      </c>
      <c r="AD145" s="101" t="n">
        <v>200</v>
      </c>
      <c r="AE145" s="101" t="n">
        <v>300</v>
      </c>
      <c r="AF145" s="101" t="n">
        <v>150</v>
      </c>
      <c r="AG145" s="101" t="n">
        <v>50</v>
      </c>
      <c r="AH145" s="101" t="n">
        <v>100</v>
      </c>
      <c r="AI145" s="101" t="n">
        <v>200</v>
      </c>
    </row>
    <row r="146" customFormat="false" ht="21.75" hidden="false" customHeight="true" outlineLevel="0" collapsed="false">
      <c r="B146" s="104"/>
      <c r="C146" s="108"/>
      <c r="D146" s="108"/>
      <c r="E146" s="108"/>
      <c r="F146" s="108"/>
      <c r="G146" s="108"/>
      <c r="H146" s="108"/>
      <c r="I146" s="108"/>
      <c r="J146" s="87" t="n">
        <v>30</v>
      </c>
      <c r="K146" s="88" t="n">
        <f aca="false">I142/1000*J146*(1+$K$8)</f>
        <v>719.4</v>
      </c>
      <c r="L146" s="89" t="n">
        <v>3</v>
      </c>
      <c r="M146" s="88" t="n">
        <f aca="false">$L$8*L146</f>
        <v>240</v>
      </c>
      <c r="N146" s="88" t="n">
        <f aca="false">SUM(K146:M146)*0.1</f>
        <v>96.24</v>
      </c>
      <c r="O146" s="90" t="n">
        <f aca="false">SUM(K146+M146+N146)</f>
        <v>1055.64</v>
      </c>
      <c r="P146" s="91" t="n">
        <v>500</v>
      </c>
      <c r="Q146" s="92" t="n">
        <v>3800</v>
      </c>
      <c r="R146" s="93" t="n">
        <f aca="false">(Q146-O146)/Q146</f>
        <v>0.7222</v>
      </c>
      <c r="S146" s="102" t="n">
        <f aca="false">Q146/J146*1000</f>
        <v>126666.666666667</v>
      </c>
      <c r="T146" s="136"/>
      <c r="U146" s="127"/>
      <c r="V146" s="130"/>
      <c r="W146" s="98" t="n">
        <f aca="false">S146*(1-$W$8)</f>
        <v>126666.666666667</v>
      </c>
      <c r="X146" s="98" t="n">
        <f aca="false">S146*(1-$X$8)</f>
        <v>114000</v>
      </c>
      <c r="Y146" s="98" t="n">
        <f aca="false">S146*(1-$Y$8)</f>
        <v>107666.666666667</v>
      </c>
      <c r="Z146" s="98" t="n">
        <f aca="false">S146*(1-$Z$8)</f>
        <v>101333.333333333</v>
      </c>
      <c r="AA146" s="98" t="n">
        <f aca="false">Q146*(1-$AA$8)</f>
        <v>3040</v>
      </c>
      <c r="AB146" s="93" t="n">
        <f aca="false">(AA146-O146)/AA146</f>
        <v>0.65275</v>
      </c>
      <c r="AC146" s="104" t="s">
        <v>157</v>
      </c>
      <c r="AD146" s="101" t="n">
        <v>200</v>
      </c>
      <c r="AE146" s="101" t="n">
        <v>300</v>
      </c>
      <c r="AF146" s="101" t="n">
        <v>150</v>
      </c>
      <c r="AG146" s="101" t="n">
        <v>50</v>
      </c>
      <c r="AH146" s="101" t="n">
        <v>100</v>
      </c>
      <c r="AI146" s="101" t="n">
        <v>200</v>
      </c>
    </row>
    <row r="147" customFormat="false" ht="21.75" hidden="false" customHeight="true" outlineLevel="0" collapsed="false">
      <c r="B147" s="104"/>
      <c r="C147" s="108" t="s">
        <v>159</v>
      </c>
      <c r="D147" s="83" t="s">
        <v>129</v>
      </c>
      <c r="E147" s="84" t="n">
        <v>50</v>
      </c>
      <c r="F147" s="84" t="n">
        <v>50</v>
      </c>
      <c r="G147" s="84" t="n">
        <f aca="false">E147*$G$8</f>
        <v>9</v>
      </c>
      <c r="H147" s="84" t="n">
        <f aca="false">SUM(E147:G147)</f>
        <v>109</v>
      </c>
      <c r="I147" s="126" t="n">
        <f aca="false">H147*200</f>
        <v>21800</v>
      </c>
      <c r="J147" s="87" t="n">
        <v>5</v>
      </c>
      <c r="K147" s="88" t="n">
        <f aca="false">I147/1000*J147*(1+$K$8)</f>
        <v>119.9</v>
      </c>
      <c r="L147" s="89" t="n">
        <v>3.5</v>
      </c>
      <c r="M147" s="88" t="n">
        <f aca="false">$L$8*L147</f>
        <v>280</v>
      </c>
      <c r="N147" s="88" t="n">
        <f aca="false">SUM(K147:M147)*0.1</f>
        <v>40.34</v>
      </c>
      <c r="O147" s="90" t="n">
        <f aca="false">SUM(K147+M147+N147)</f>
        <v>440.24</v>
      </c>
      <c r="P147" s="91" t="n">
        <v>500</v>
      </c>
      <c r="Q147" s="92" t="n">
        <v>1800</v>
      </c>
      <c r="R147" s="93" t="n">
        <f aca="false">(Q147-O147)/Q147</f>
        <v>0.755422222222222</v>
      </c>
      <c r="S147" s="102" t="n">
        <f aca="false">Q147/J147*1000</f>
        <v>360000</v>
      </c>
      <c r="T147" s="137"/>
      <c r="U147" s="127" t="n">
        <v>160000</v>
      </c>
      <c r="V147" s="128"/>
      <c r="W147" s="98" t="n">
        <f aca="false">S147*(1-$W$8)</f>
        <v>360000</v>
      </c>
      <c r="X147" s="98" t="n">
        <f aca="false">S147*(1-$X$8)</f>
        <v>324000</v>
      </c>
      <c r="Y147" s="98" t="n">
        <f aca="false">S147*(1-$Y$8)</f>
        <v>306000</v>
      </c>
      <c r="Z147" s="98" t="n">
        <f aca="false">S147*(1-$Z$8)</f>
        <v>288000</v>
      </c>
      <c r="AA147" s="98" t="n">
        <f aca="false">Q147*(1-$AA$8)</f>
        <v>1440</v>
      </c>
      <c r="AB147" s="93" t="n">
        <f aca="false">(AA147-O147)/AA147</f>
        <v>0.694277777777778</v>
      </c>
      <c r="AC147" s="104" t="s">
        <v>157</v>
      </c>
      <c r="AD147" s="101" t="n">
        <v>200</v>
      </c>
      <c r="AE147" s="101" t="n">
        <v>300</v>
      </c>
      <c r="AF147" s="101" t="n">
        <v>150</v>
      </c>
      <c r="AG147" s="101" t="n">
        <v>50</v>
      </c>
      <c r="AH147" s="101" t="n">
        <v>100</v>
      </c>
      <c r="AI147" s="101" t="n">
        <v>200</v>
      </c>
    </row>
    <row r="148" customFormat="false" ht="21.75" hidden="false" customHeight="true" outlineLevel="0" collapsed="false">
      <c r="B148" s="104"/>
      <c r="C148" s="104"/>
      <c r="D148" s="104"/>
      <c r="E148" s="104"/>
      <c r="F148" s="104"/>
      <c r="G148" s="104"/>
      <c r="H148" s="104"/>
      <c r="I148" s="104"/>
      <c r="J148" s="87" t="n">
        <v>10</v>
      </c>
      <c r="K148" s="88" t="n">
        <f aca="false">I147/1000*J148*(1+$K$8)</f>
        <v>239.8</v>
      </c>
      <c r="L148" s="89" t="n">
        <v>3.5</v>
      </c>
      <c r="M148" s="88" t="n">
        <f aca="false">$L$8*L148</f>
        <v>280</v>
      </c>
      <c r="N148" s="88" t="n">
        <f aca="false">SUM(K148:M148)*0.1</f>
        <v>52.33</v>
      </c>
      <c r="O148" s="90" t="n">
        <f aca="false">SUM(K148+M148+N148)</f>
        <v>572.13</v>
      </c>
      <c r="P148" s="91" t="n">
        <v>500</v>
      </c>
      <c r="Q148" s="92" t="n">
        <v>2200</v>
      </c>
      <c r="R148" s="93" t="n">
        <f aca="false">(Q148-O148)/Q148</f>
        <v>0.739940909090909</v>
      </c>
      <c r="S148" s="102" t="n">
        <f aca="false">Q148/J148*1000</f>
        <v>220000</v>
      </c>
      <c r="T148" s="138"/>
      <c r="U148" s="127"/>
      <c r="V148" s="129"/>
      <c r="W148" s="98" t="n">
        <f aca="false">S148*(1-$W$8)</f>
        <v>220000</v>
      </c>
      <c r="X148" s="98" t="n">
        <f aca="false">S148*(1-$X$8)</f>
        <v>198000</v>
      </c>
      <c r="Y148" s="98" t="n">
        <f aca="false">S148*(1-$Y$8)</f>
        <v>187000</v>
      </c>
      <c r="Z148" s="98" t="n">
        <f aca="false">S148*(1-$Z$8)</f>
        <v>176000</v>
      </c>
      <c r="AA148" s="98" t="n">
        <f aca="false">Q148*(1-$AA$8)</f>
        <v>1760</v>
      </c>
      <c r="AB148" s="93" t="n">
        <f aca="false">(AA148-O148)/AA148</f>
        <v>0.674926136363636</v>
      </c>
      <c r="AC148" s="104" t="s">
        <v>157</v>
      </c>
      <c r="AD148" s="101" t="n">
        <v>200</v>
      </c>
      <c r="AE148" s="101" t="n">
        <v>300</v>
      </c>
      <c r="AF148" s="101" t="n">
        <v>150</v>
      </c>
      <c r="AG148" s="101" t="n">
        <v>50</v>
      </c>
      <c r="AH148" s="101" t="n">
        <v>100</v>
      </c>
      <c r="AI148" s="101" t="n">
        <v>200</v>
      </c>
    </row>
    <row r="149" customFormat="false" ht="21.75" hidden="false" customHeight="true" outlineLevel="0" collapsed="false">
      <c r="B149" s="104"/>
      <c r="C149" s="104"/>
      <c r="D149" s="104"/>
      <c r="E149" s="104"/>
      <c r="F149" s="104"/>
      <c r="G149" s="104"/>
      <c r="H149" s="104"/>
      <c r="I149" s="104"/>
      <c r="J149" s="87" t="n">
        <v>15</v>
      </c>
      <c r="K149" s="88" t="n">
        <f aca="false">I147/1000*J149*(1+$K$8)</f>
        <v>359.7</v>
      </c>
      <c r="L149" s="89" t="n">
        <v>3.5</v>
      </c>
      <c r="M149" s="88" t="n">
        <f aca="false">$L$8*L149</f>
        <v>280</v>
      </c>
      <c r="N149" s="88" t="n">
        <f aca="false">SUM(K149:M149)*0.1</f>
        <v>64.32</v>
      </c>
      <c r="O149" s="90" t="n">
        <f aca="false">SUM(K149+M149+N149)</f>
        <v>704.02</v>
      </c>
      <c r="P149" s="91" t="n">
        <v>500</v>
      </c>
      <c r="Q149" s="92" t="n">
        <v>2600</v>
      </c>
      <c r="R149" s="93" t="n">
        <f aca="false">(Q149-O149)/Q149</f>
        <v>0.729223076923077</v>
      </c>
      <c r="S149" s="102" t="n">
        <f aca="false">Q149/J149*1000</f>
        <v>173333.333333333</v>
      </c>
      <c r="T149" s="138"/>
      <c r="U149" s="127"/>
      <c r="V149" s="129"/>
      <c r="W149" s="98" t="n">
        <f aca="false">S149*(1-$W$8)</f>
        <v>173333.333333333</v>
      </c>
      <c r="X149" s="98" t="n">
        <f aca="false">S149*(1-$X$8)</f>
        <v>156000</v>
      </c>
      <c r="Y149" s="98" t="n">
        <f aca="false">S149*(1-$Y$8)</f>
        <v>147333.333333333</v>
      </c>
      <c r="Z149" s="98" t="n">
        <f aca="false">S149*(1-$Z$8)</f>
        <v>138666.666666667</v>
      </c>
      <c r="AA149" s="98" t="n">
        <f aca="false">Q149*(1-$AA$8)</f>
        <v>2080</v>
      </c>
      <c r="AB149" s="93" t="n">
        <f aca="false">(AA149-O149)/AA149</f>
        <v>0.661528846153846</v>
      </c>
      <c r="AC149" s="104" t="s">
        <v>157</v>
      </c>
      <c r="AD149" s="101" t="n">
        <v>200</v>
      </c>
      <c r="AE149" s="101" t="n">
        <v>300</v>
      </c>
      <c r="AF149" s="101" t="n">
        <v>150</v>
      </c>
      <c r="AG149" s="101" t="n">
        <v>50</v>
      </c>
      <c r="AH149" s="101" t="n">
        <v>100</v>
      </c>
      <c r="AI149" s="101" t="n">
        <v>200</v>
      </c>
    </row>
    <row r="150" customFormat="false" ht="21.75" hidden="false" customHeight="true" outlineLevel="0" collapsed="false">
      <c r="B150" s="104"/>
      <c r="C150" s="104"/>
      <c r="D150" s="104"/>
      <c r="E150" s="104"/>
      <c r="F150" s="104"/>
      <c r="G150" s="104"/>
      <c r="H150" s="104"/>
      <c r="I150" s="104"/>
      <c r="J150" s="87" t="n">
        <v>20</v>
      </c>
      <c r="K150" s="88" t="n">
        <f aca="false">I147/1000*J150*(1+$K$8)</f>
        <v>479.6</v>
      </c>
      <c r="L150" s="89" t="n">
        <v>3.5</v>
      </c>
      <c r="M150" s="88" t="n">
        <f aca="false">$L$8*L150</f>
        <v>280</v>
      </c>
      <c r="N150" s="88" t="n">
        <f aca="false">SUM(K150:M150)*0.1</f>
        <v>76.31</v>
      </c>
      <c r="O150" s="90" t="n">
        <f aca="false">SUM(K150+M150+N150)</f>
        <v>835.91</v>
      </c>
      <c r="P150" s="91" t="n">
        <v>500</v>
      </c>
      <c r="Q150" s="92" t="n">
        <v>3000</v>
      </c>
      <c r="R150" s="93" t="n">
        <f aca="false">(Q150-O150)/Q150</f>
        <v>0.721363333333333</v>
      </c>
      <c r="S150" s="102" t="n">
        <f aca="false">Q150/J150*1000</f>
        <v>150000</v>
      </c>
      <c r="T150" s="138"/>
      <c r="U150" s="127"/>
      <c r="V150" s="129"/>
      <c r="W150" s="98" t="n">
        <f aca="false">S150*(1-$W$8)</f>
        <v>150000</v>
      </c>
      <c r="X150" s="98" t="n">
        <f aca="false">S150*(1-$X$8)</f>
        <v>135000</v>
      </c>
      <c r="Y150" s="98" t="n">
        <f aca="false">S150*(1-$Y$8)</f>
        <v>127500</v>
      </c>
      <c r="Z150" s="98" t="n">
        <f aca="false">S150*(1-$Z$8)</f>
        <v>120000</v>
      </c>
      <c r="AA150" s="98" t="n">
        <f aca="false">Q150*(1-$AA$8)</f>
        <v>2400</v>
      </c>
      <c r="AB150" s="93" t="n">
        <f aca="false">(AA150-O150)/AA150</f>
        <v>0.651704166666667</v>
      </c>
      <c r="AC150" s="104" t="s">
        <v>157</v>
      </c>
      <c r="AD150" s="101" t="n">
        <v>200</v>
      </c>
      <c r="AE150" s="101" t="n">
        <v>300</v>
      </c>
      <c r="AF150" s="101" t="n">
        <v>150</v>
      </c>
      <c r="AG150" s="101" t="n">
        <v>50</v>
      </c>
      <c r="AH150" s="101" t="n">
        <v>100</v>
      </c>
      <c r="AI150" s="101" t="n">
        <v>200</v>
      </c>
    </row>
    <row r="151" customFormat="false" ht="21.75" hidden="false" customHeight="true" outlineLevel="0" collapsed="false">
      <c r="B151" s="104"/>
      <c r="C151" s="108"/>
      <c r="D151" s="108"/>
      <c r="E151" s="108"/>
      <c r="F151" s="108"/>
      <c r="G151" s="108"/>
      <c r="H151" s="108"/>
      <c r="I151" s="108"/>
      <c r="J151" s="87" t="n">
        <v>30</v>
      </c>
      <c r="K151" s="88" t="n">
        <f aca="false">I147/1000*J151*(1+$K$8)</f>
        <v>719.4</v>
      </c>
      <c r="L151" s="89" t="n">
        <v>3.5</v>
      </c>
      <c r="M151" s="88" t="n">
        <f aca="false">$L$8*L151</f>
        <v>280</v>
      </c>
      <c r="N151" s="88" t="n">
        <f aca="false">SUM(K151:M151)*0.1</f>
        <v>100.29</v>
      </c>
      <c r="O151" s="90" t="n">
        <f aca="false">SUM(K151+M151+N151)</f>
        <v>1099.69</v>
      </c>
      <c r="P151" s="91" t="n">
        <v>500</v>
      </c>
      <c r="Q151" s="92" t="n">
        <v>3800</v>
      </c>
      <c r="R151" s="93" t="n">
        <f aca="false">(Q151-O151)/Q151</f>
        <v>0.710607894736842</v>
      </c>
      <c r="S151" s="102" t="n">
        <f aca="false">Q151/J151*1000</f>
        <v>126666.666666667</v>
      </c>
      <c r="T151" s="139"/>
      <c r="U151" s="127"/>
      <c r="V151" s="130"/>
      <c r="W151" s="98" t="n">
        <f aca="false">S151*(1-$W$8)</f>
        <v>126666.666666667</v>
      </c>
      <c r="X151" s="98" t="n">
        <f aca="false">S151*(1-$X$8)</f>
        <v>114000</v>
      </c>
      <c r="Y151" s="98" t="n">
        <f aca="false">S151*(1-$Y$8)</f>
        <v>107666.666666667</v>
      </c>
      <c r="Z151" s="98" t="n">
        <f aca="false">S151*(1-$Z$8)</f>
        <v>101333.333333333</v>
      </c>
      <c r="AA151" s="98" t="n">
        <f aca="false">Q151*(1-$AA$8)</f>
        <v>3040</v>
      </c>
      <c r="AB151" s="93" t="n">
        <f aca="false">(AA151-O151)/AA151</f>
        <v>0.638259868421053</v>
      </c>
      <c r="AC151" s="104" t="s">
        <v>157</v>
      </c>
      <c r="AD151" s="101" t="n">
        <v>200</v>
      </c>
      <c r="AE151" s="101" t="n">
        <v>300</v>
      </c>
      <c r="AF151" s="101" t="n">
        <v>150</v>
      </c>
      <c r="AG151" s="101" t="n">
        <v>50</v>
      </c>
      <c r="AH151" s="101" t="n">
        <v>100</v>
      </c>
      <c r="AI151" s="101" t="n">
        <v>200</v>
      </c>
    </row>
    <row r="152" customFormat="false" ht="21.75" hidden="false" customHeight="true" outlineLevel="0" collapsed="false">
      <c r="B152" s="104"/>
      <c r="C152" s="108" t="s">
        <v>160</v>
      </c>
      <c r="D152" s="83" t="s">
        <v>129</v>
      </c>
      <c r="E152" s="84" t="n">
        <v>50</v>
      </c>
      <c r="F152" s="84" t="n">
        <v>50</v>
      </c>
      <c r="G152" s="84" t="n">
        <f aca="false">E152*$G$8</f>
        <v>9</v>
      </c>
      <c r="H152" s="84" t="n">
        <f aca="false">SUM(E152:G152)</f>
        <v>109</v>
      </c>
      <c r="I152" s="126" t="n">
        <f aca="false">H152*200</f>
        <v>21800</v>
      </c>
      <c r="J152" s="87" t="n">
        <v>5</v>
      </c>
      <c r="K152" s="88" t="n">
        <f aca="false">I152/1000*J152*(1+$K$8)</f>
        <v>119.9</v>
      </c>
      <c r="L152" s="89" t="n">
        <v>3.5</v>
      </c>
      <c r="M152" s="88" t="n">
        <f aca="false">$L$8*L152</f>
        <v>280</v>
      </c>
      <c r="N152" s="88" t="n">
        <f aca="false">SUM(K152:M152)*0.1</f>
        <v>40.34</v>
      </c>
      <c r="O152" s="90" t="n">
        <f aca="false">SUM(K152+M152+N152)</f>
        <v>440.24</v>
      </c>
      <c r="P152" s="91" t="n">
        <v>500</v>
      </c>
      <c r="Q152" s="92" t="n">
        <v>1800</v>
      </c>
      <c r="R152" s="93" t="n">
        <f aca="false">(Q152-O152)/Q152</f>
        <v>0.755422222222222</v>
      </c>
      <c r="S152" s="102" t="n">
        <f aca="false">Q152/J152*1000</f>
        <v>360000</v>
      </c>
      <c r="T152" s="136" t="n">
        <f aca="false">AVERAGE(S152:S156)</f>
        <v>206000</v>
      </c>
      <c r="U152" s="127" t="n">
        <v>160000</v>
      </c>
      <c r="V152" s="128"/>
      <c r="W152" s="98" t="n">
        <f aca="false">S152*(1-$W$8)</f>
        <v>360000</v>
      </c>
      <c r="X152" s="98" t="n">
        <f aca="false">S152*(1-$X$8)</f>
        <v>324000</v>
      </c>
      <c r="Y152" s="98" t="n">
        <f aca="false">S152*(1-$Y$8)</f>
        <v>306000</v>
      </c>
      <c r="Z152" s="98" t="n">
        <f aca="false">S152*(1-$Z$8)</f>
        <v>288000</v>
      </c>
      <c r="AA152" s="98" t="n">
        <f aca="false">Q152*(1-$AA$8)</f>
        <v>1440</v>
      </c>
      <c r="AB152" s="93" t="n">
        <f aca="false">(AA152-O152)/AA152</f>
        <v>0.694277777777778</v>
      </c>
      <c r="AC152" s="104" t="s">
        <v>157</v>
      </c>
      <c r="AD152" s="101" t="n">
        <v>200</v>
      </c>
      <c r="AE152" s="101" t="n">
        <v>300</v>
      </c>
      <c r="AF152" s="101" t="n">
        <v>150</v>
      </c>
      <c r="AG152" s="101" t="n">
        <v>50</v>
      </c>
      <c r="AH152" s="101" t="n">
        <v>100</v>
      </c>
      <c r="AI152" s="101" t="n">
        <v>200</v>
      </c>
    </row>
    <row r="153" customFormat="false" ht="21.75" hidden="false" customHeight="true" outlineLevel="0" collapsed="false">
      <c r="B153" s="104"/>
      <c r="C153" s="104"/>
      <c r="D153" s="104"/>
      <c r="E153" s="104"/>
      <c r="F153" s="104"/>
      <c r="G153" s="104"/>
      <c r="H153" s="104"/>
      <c r="I153" s="104"/>
      <c r="J153" s="87" t="n">
        <v>10</v>
      </c>
      <c r="K153" s="88" t="n">
        <f aca="false">I152/1000*J153*(1+$K$8)</f>
        <v>239.8</v>
      </c>
      <c r="L153" s="89" t="n">
        <v>3.5</v>
      </c>
      <c r="M153" s="88" t="n">
        <f aca="false">$L$8*L153</f>
        <v>280</v>
      </c>
      <c r="N153" s="88" t="n">
        <f aca="false">SUM(K153:M153)*0.1</f>
        <v>52.33</v>
      </c>
      <c r="O153" s="90" t="n">
        <f aca="false">SUM(K153+M153+N153)</f>
        <v>572.13</v>
      </c>
      <c r="P153" s="91" t="n">
        <v>500</v>
      </c>
      <c r="Q153" s="92" t="n">
        <v>2200</v>
      </c>
      <c r="R153" s="93" t="n">
        <f aca="false">(Q153-O153)/Q153</f>
        <v>0.739940909090909</v>
      </c>
      <c r="S153" s="102" t="n">
        <f aca="false">Q153/J153*1000</f>
        <v>220000</v>
      </c>
      <c r="T153" s="136"/>
      <c r="U153" s="127"/>
      <c r="V153" s="129"/>
      <c r="W153" s="98" t="n">
        <f aca="false">S153*(1-$W$8)</f>
        <v>220000</v>
      </c>
      <c r="X153" s="98" t="n">
        <f aca="false">S153*(1-$X$8)</f>
        <v>198000</v>
      </c>
      <c r="Y153" s="98" t="n">
        <f aca="false">S153*(1-$Y$8)</f>
        <v>187000</v>
      </c>
      <c r="Z153" s="98" t="n">
        <f aca="false">S153*(1-$Z$8)</f>
        <v>176000</v>
      </c>
      <c r="AA153" s="98" t="n">
        <f aca="false">Q153*(1-$AA$8)</f>
        <v>1760</v>
      </c>
      <c r="AB153" s="93" t="n">
        <f aca="false">(AA153-O153)/AA153</f>
        <v>0.674926136363636</v>
      </c>
      <c r="AC153" s="104" t="s">
        <v>157</v>
      </c>
      <c r="AD153" s="101" t="n">
        <v>200</v>
      </c>
      <c r="AE153" s="101" t="n">
        <v>300</v>
      </c>
      <c r="AF153" s="101" t="n">
        <v>150</v>
      </c>
      <c r="AG153" s="101" t="n">
        <v>50</v>
      </c>
      <c r="AH153" s="101" t="n">
        <v>100</v>
      </c>
      <c r="AI153" s="101" t="n">
        <v>200</v>
      </c>
    </row>
    <row r="154" customFormat="false" ht="21.75" hidden="false" customHeight="true" outlineLevel="0" collapsed="false">
      <c r="B154" s="104"/>
      <c r="C154" s="104"/>
      <c r="D154" s="104"/>
      <c r="E154" s="104"/>
      <c r="F154" s="104"/>
      <c r="G154" s="104"/>
      <c r="H154" s="104"/>
      <c r="I154" s="104"/>
      <c r="J154" s="87" t="n">
        <v>15</v>
      </c>
      <c r="K154" s="88" t="n">
        <f aca="false">I152/1000*J154*(1+$K$8)</f>
        <v>359.7</v>
      </c>
      <c r="L154" s="89" t="n">
        <v>3</v>
      </c>
      <c r="M154" s="88" t="n">
        <f aca="false">$L$8*L154</f>
        <v>240</v>
      </c>
      <c r="N154" s="88" t="n">
        <f aca="false">SUM(K154:M154)*0.1</f>
        <v>60.27</v>
      </c>
      <c r="O154" s="90" t="n">
        <f aca="false">SUM(K154+M154+N154)</f>
        <v>659.97</v>
      </c>
      <c r="P154" s="91" t="n">
        <v>500</v>
      </c>
      <c r="Q154" s="92" t="n">
        <v>2600</v>
      </c>
      <c r="R154" s="93" t="n">
        <f aca="false">(Q154-O154)/Q154</f>
        <v>0.746165384615385</v>
      </c>
      <c r="S154" s="102" t="n">
        <f aca="false">Q154/J154*1000</f>
        <v>173333.333333333</v>
      </c>
      <c r="T154" s="136"/>
      <c r="U154" s="127"/>
      <c r="V154" s="129"/>
      <c r="W154" s="98" t="n">
        <f aca="false">S154*(1-$W$8)</f>
        <v>173333.333333333</v>
      </c>
      <c r="X154" s="98" t="n">
        <f aca="false">S154*(1-$X$8)</f>
        <v>156000</v>
      </c>
      <c r="Y154" s="98" t="n">
        <f aca="false">S154*(1-$Y$8)</f>
        <v>147333.333333333</v>
      </c>
      <c r="Z154" s="98" t="n">
        <f aca="false">S154*(1-$Z$8)</f>
        <v>138666.666666667</v>
      </c>
      <c r="AA154" s="98" t="n">
        <f aca="false">Q154*(1-$AA$8)</f>
        <v>2080</v>
      </c>
      <c r="AB154" s="93" t="n">
        <f aca="false">(AA154-O154)/AA154</f>
        <v>0.682706730769231</v>
      </c>
      <c r="AC154" s="104" t="s">
        <v>157</v>
      </c>
      <c r="AD154" s="101" t="n">
        <v>200</v>
      </c>
      <c r="AE154" s="101" t="n">
        <v>300</v>
      </c>
      <c r="AF154" s="101" t="n">
        <v>150</v>
      </c>
      <c r="AG154" s="101" t="n">
        <v>50</v>
      </c>
      <c r="AH154" s="101" t="n">
        <v>100</v>
      </c>
      <c r="AI154" s="101" t="n">
        <v>200</v>
      </c>
    </row>
    <row r="155" customFormat="false" ht="21.75" hidden="false" customHeight="true" outlineLevel="0" collapsed="false">
      <c r="B155" s="104"/>
      <c r="C155" s="104"/>
      <c r="D155" s="104"/>
      <c r="E155" s="104"/>
      <c r="F155" s="104"/>
      <c r="G155" s="104"/>
      <c r="H155" s="104"/>
      <c r="I155" s="104"/>
      <c r="J155" s="87" t="n">
        <v>20</v>
      </c>
      <c r="K155" s="88" t="n">
        <f aca="false">I152/1000*J155*(1+$K$8)</f>
        <v>479.6</v>
      </c>
      <c r="L155" s="89" t="n">
        <v>3</v>
      </c>
      <c r="M155" s="88" t="n">
        <f aca="false">$L$8*L155</f>
        <v>240</v>
      </c>
      <c r="N155" s="88" t="n">
        <f aca="false">SUM(K155:M155)*0.1</f>
        <v>72.26</v>
      </c>
      <c r="O155" s="90" t="n">
        <f aca="false">SUM(K155+M155+N155)</f>
        <v>791.86</v>
      </c>
      <c r="P155" s="91" t="n">
        <v>500</v>
      </c>
      <c r="Q155" s="92" t="n">
        <v>3000</v>
      </c>
      <c r="R155" s="93" t="n">
        <f aca="false">(Q155-O155)/Q155</f>
        <v>0.736046666666667</v>
      </c>
      <c r="S155" s="102" t="n">
        <f aca="false">Q155/J155*1000</f>
        <v>150000</v>
      </c>
      <c r="T155" s="136"/>
      <c r="U155" s="127"/>
      <c r="V155" s="129"/>
      <c r="W155" s="98" t="n">
        <f aca="false">S155*(1-$W$8)</f>
        <v>150000</v>
      </c>
      <c r="X155" s="98" t="n">
        <f aca="false">S155*(1-$X$8)</f>
        <v>135000</v>
      </c>
      <c r="Y155" s="98" t="n">
        <f aca="false">S155*(1-$Y$8)</f>
        <v>127500</v>
      </c>
      <c r="Z155" s="98" t="n">
        <f aca="false">S155*(1-$Z$8)</f>
        <v>120000</v>
      </c>
      <c r="AA155" s="98" t="n">
        <f aca="false">Q155*(1-$AA$8)</f>
        <v>2400</v>
      </c>
      <c r="AB155" s="93" t="n">
        <f aca="false">(AA155-O155)/AA155</f>
        <v>0.670058333333333</v>
      </c>
      <c r="AC155" s="104" t="s">
        <v>157</v>
      </c>
      <c r="AD155" s="101" t="n">
        <v>200</v>
      </c>
      <c r="AE155" s="101" t="n">
        <v>300</v>
      </c>
      <c r="AF155" s="101" t="n">
        <v>150</v>
      </c>
      <c r="AG155" s="101" t="n">
        <v>50</v>
      </c>
      <c r="AH155" s="101" t="n">
        <v>100</v>
      </c>
      <c r="AI155" s="101" t="n">
        <v>200</v>
      </c>
    </row>
    <row r="156" customFormat="false" ht="21.75" hidden="false" customHeight="true" outlineLevel="0" collapsed="false">
      <c r="B156" s="104"/>
      <c r="C156" s="104"/>
      <c r="D156" s="104"/>
      <c r="E156" s="104"/>
      <c r="F156" s="104"/>
      <c r="G156" s="104"/>
      <c r="H156" s="104"/>
      <c r="I156" s="104"/>
      <c r="J156" s="87" t="n">
        <v>30</v>
      </c>
      <c r="K156" s="88" t="n">
        <f aca="false">I152/1000*J156*(1+$K$8)</f>
        <v>719.4</v>
      </c>
      <c r="L156" s="89" t="n">
        <v>3</v>
      </c>
      <c r="M156" s="88" t="n">
        <f aca="false">$L$8*L156</f>
        <v>240</v>
      </c>
      <c r="N156" s="88" t="n">
        <f aca="false">SUM(K156:M156)*0.1</f>
        <v>96.24</v>
      </c>
      <c r="O156" s="90" t="n">
        <f aca="false">SUM(K156+M156+N156)</f>
        <v>1055.64</v>
      </c>
      <c r="P156" s="91" t="n">
        <v>500</v>
      </c>
      <c r="Q156" s="92" t="n">
        <v>3800</v>
      </c>
      <c r="R156" s="93" t="n">
        <f aca="false">(Q156-O156)/Q156</f>
        <v>0.7222</v>
      </c>
      <c r="S156" s="102" t="n">
        <f aca="false">Q156/J156*1000</f>
        <v>126666.666666667</v>
      </c>
      <c r="T156" s="136"/>
      <c r="U156" s="127"/>
      <c r="V156" s="130"/>
      <c r="W156" s="98" t="n">
        <f aca="false">S156*(1-$W$8)</f>
        <v>126666.666666667</v>
      </c>
      <c r="X156" s="98" t="n">
        <f aca="false">S156*(1-$X$8)</f>
        <v>114000</v>
      </c>
      <c r="Y156" s="98" t="n">
        <f aca="false">S156*(1-$Y$8)</f>
        <v>107666.666666667</v>
      </c>
      <c r="Z156" s="98" t="n">
        <f aca="false">S156*(1-$Z$8)</f>
        <v>101333.333333333</v>
      </c>
      <c r="AA156" s="98" t="n">
        <f aca="false">Q156*(1-$AA$8)</f>
        <v>3040</v>
      </c>
      <c r="AB156" s="93" t="n">
        <f aca="false">(AA156-O156)/AA156</f>
        <v>0.65275</v>
      </c>
      <c r="AC156" s="104" t="s">
        <v>157</v>
      </c>
      <c r="AD156" s="101" t="n">
        <v>200</v>
      </c>
      <c r="AE156" s="101" t="n">
        <v>300</v>
      </c>
      <c r="AF156" s="101" t="n">
        <v>150</v>
      </c>
      <c r="AG156" s="101" t="n">
        <v>50</v>
      </c>
      <c r="AH156" s="101" t="n">
        <v>100</v>
      </c>
      <c r="AI156" s="101" t="n">
        <v>200</v>
      </c>
    </row>
    <row r="157" customFormat="false" ht="21.75" hidden="false" customHeight="true" outlineLevel="0" collapsed="false">
      <c r="C157" s="110"/>
      <c r="D157" s="110"/>
      <c r="E157" s="111"/>
      <c r="F157" s="111"/>
      <c r="G157" s="111"/>
      <c r="H157" s="111"/>
      <c r="I157" s="131"/>
      <c r="K157" s="55"/>
      <c r="L157" s="114"/>
      <c r="M157" s="55"/>
      <c r="N157" s="55"/>
      <c r="O157" s="115"/>
      <c r="Q157" s="140"/>
      <c r="R157" s="116"/>
      <c r="S157" s="117"/>
      <c r="T157" s="141"/>
      <c r="U157" s="132"/>
      <c r="V157" s="132"/>
      <c r="W157" s="117"/>
      <c r="X157" s="117"/>
      <c r="Y157" s="117"/>
      <c r="Z157" s="117"/>
      <c r="AA157" s="117"/>
      <c r="AB157" s="116"/>
      <c r="AD157" s="119"/>
      <c r="AE157" s="119"/>
      <c r="AF157" s="119"/>
      <c r="AG157" s="119"/>
      <c r="AH157" s="119"/>
      <c r="AI157" s="119"/>
    </row>
    <row r="158" customFormat="false" ht="21.75" hidden="false" customHeight="true" outlineLevel="0" collapsed="false">
      <c r="B158" s="51" t="s">
        <v>161</v>
      </c>
      <c r="C158" s="54"/>
      <c r="D158" s="54"/>
      <c r="E158" s="54"/>
      <c r="F158" s="54"/>
      <c r="K158" s="55"/>
    </row>
    <row r="159" customFormat="false" ht="21.75" hidden="false" customHeight="true" outlineLevel="0" collapsed="false">
      <c r="K159" s="56"/>
      <c r="M159" s="47" t="s">
        <v>89</v>
      </c>
      <c r="P159" s="50" t="n">
        <v>50000</v>
      </c>
      <c r="Q159" s="57" t="s">
        <v>90</v>
      </c>
      <c r="U159" s="57" t="s">
        <v>91</v>
      </c>
      <c r="V159" s="47"/>
      <c r="W159" s="58" t="s">
        <v>92</v>
      </c>
      <c r="X159" s="58"/>
      <c r="Y159" s="58"/>
      <c r="Z159" s="58"/>
      <c r="AA159" s="59"/>
      <c r="AB159" s="59"/>
      <c r="AD159" s="60" t="s">
        <v>93</v>
      </c>
      <c r="AE159" s="60"/>
      <c r="AF159" s="60"/>
      <c r="AG159" s="60"/>
      <c r="AH159" s="60"/>
      <c r="AI159" s="60"/>
    </row>
    <row r="160" customFormat="false" ht="21.75" hidden="false" customHeight="true" outlineLevel="0" collapsed="false">
      <c r="B160" s="61" t="s">
        <v>94</v>
      </c>
      <c r="C160" s="61" t="s">
        <v>8</v>
      </c>
      <c r="D160" s="61" t="s">
        <v>95</v>
      </c>
      <c r="E160" s="62" t="s">
        <v>96</v>
      </c>
      <c r="F160" s="62" t="s">
        <v>97</v>
      </c>
      <c r="G160" s="62" t="s">
        <v>98</v>
      </c>
      <c r="H160" s="62" t="s">
        <v>99</v>
      </c>
      <c r="I160" s="62" t="s">
        <v>100</v>
      </c>
      <c r="J160" s="63" t="s">
        <v>101</v>
      </c>
      <c r="K160" s="64" t="s">
        <v>102</v>
      </c>
      <c r="L160" s="64" t="s">
        <v>103</v>
      </c>
      <c r="M160" s="64" t="s">
        <v>104</v>
      </c>
      <c r="N160" s="63" t="s">
        <v>105</v>
      </c>
      <c r="O160" s="64" t="s">
        <v>106</v>
      </c>
      <c r="P160" s="65" t="s">
        <v>107</v>
      </c>
      <c r="Q160" s="66" t="s">
        <v>108</v>
      </c>
      <c r="R160" s="67" t="s">
        <v>14</v>
      </c>
      <c r="S160" s="68" t="s">
        <v>109</v>
      </c>
      <c r="T160" s="69" t="s">
        <v>110</v>
      </c>
      <c r="U160" s="70" t="s">
        <v>111</v>
      </c>
      <c r="V160" s="71"/>
      <c r="W160" s="72" t="s">
        <v>112</v>
      </c>
      <c r="X160" s="72" t="s">
        <v>113</v>
      </c>
      <c r="Y160" s="72" t="s">
        <v>114</v>
      </c>
      <c r="Z160" s="72" t="s">
        <v>115</v>
      </c>
      <c r="AA160" s="72" t="s">
        <v>115</v>
      </c>
      <c r="AB160" s="62" t="s">
        <v>116</v>
      </c>
      <c r="AC160" s="62" t="s">
        <v>117</v>
      </c>
      <c r="AD160" s="60" t="s">
        <v>4</v>
      </c>
      <c r="AE160" s="60" t="s">
        <v>21</v>
      </c>
      <c r="AF160" s="60" t="s">
        <v>22</v>
      </c>
      <c r="AG160" s="60" t="s">
        <v>118</v>
      </c>
      <c r="AH160" s="60" t="s">
        <v>119</v>
      </c>
      <c r="AI160" s="60" t="s">
        <v>25</v>
      </c>
    </row>
    <row r="161" customFormat="false" ht="21.75" hidden="false" customHeight="true" outlineLevel="0" collapsed="false">
      <c r="B161" s="61"/>
      <c r="C161" s="61"/>
      <c r="D161" s="61"/>
      <c r="E161" s="61"/>
      <c r="F161" s="61"/>
      <c r="G161" s="62"/>
      <c r="H161" s="62"/>
      <c r="I161" s="62"/>
      <c r="J161" s="62"/>
      <c r="K161" s="64" t="s">
        <v>120</v>
      </c>
      <c r="L161" s="64" t="s">
        <v>121</v>
      </c>
      <c r="M161" s="73" t="s">
        <v>122</v>
      </c>
      <c r="N161" s="74" t="s">
        <v>123</v>
      </c>
      <c r="O161" s="74" t="s">
        <v>124</v>
      </c>
      <c r="P161" s="65"/>
      <c r="Q161" s="75" t="s">
        <v>125</v>
      </c>
      <c r="R161" s="76" t="s">
        <v>126</v>
      </c>
      <c r="S161" s="68"/>
      <c r="T161" s="69"/>
      <c r="U161" s="70"/>
      <c r="V161" s="77"/>
      <c r="W161" s="78" t="s">
        <v>127</v>
      </c>
      <c r="X161" s="78" t="s">
        <v>127</v>
      </c>
      <c r="Y161" s="78" t="s">
        <v>127</v>
      </c>
      <c r="Z161" s="78" t="s">
        <v>127</v>
      </c>
      <c r="AA161" s="78" t="s">
        <v>127</v>
      </c>
      <c r="AB161" s="78"/>
      <c r="AC161" s="62"/>
      <c r="AD161" s="62"/>
      <c r="AE161" s="62"/>
      <c r="AF161" s="62"/>
      <c r="AG161" s="62"/>
      <c r="AH161" s="60"/>
      <c r="AI161" s="60"/>
    </row>
    <row r="162" customFormat="false" ht="21.75" hidden="false" customHeight="true" outlineLevel="0" collapsed="false">
      <c r="B162" s="61"/>
      <c r="C162" s="61"/>
      <c r="D162" s="61"/>
      <c r="E162" s="61"/>
      <c r="F162" s="61"/>
      <c r="G162" s="79" t="n">
        <v>0.18</v>
      </c>
      <c r="H162" s="62"/>
      <c r="I162" s="62"/>
      <c r="J162" s="62"/>
      <c r="K162" s="80" t="n">
        <v>0.1</v>
      </c>
      <c r="L162" s="74" t="n">
        <v>80</v>
      </c>
      <c r="M162" s="73"/>
      <c r="N162" s="73"/>
      <c r="O162" s="73"/>
      <c r="P162" s="65"/>
      <c r="Q162" s="75"/>
      <c r="R162" s="76"/>
      <c r="S162" s="68"/>
      <c r="T162" s="69"/>
      <c r="U162" s="70"/>
      <c r="V162" s="81"/>
      <c r="W162" s="79" t="n">
        <v>0</v>
      </c>
      <c r="X162" s="79" t="n">
        <v>0.1</v>
      </c>
      <c r="Y162" s="79" t="n">
        <v>0.15</v>
      </c>
      <c r="Z162" s="79" t="n">
        <v>0.2</v>
      </c>
      <c r="AA162" s="79" t="n">
        <v>0.2</v>
      </c>
      <c r="AB162" s="79"/>
      <c r="AC162" s="62"/>
      <c r="AD162" s="62"/>
      <c r="AE162" s="62"/>
      <c r="AF162" s="62"/>
      <c r="AG162" s="62"/>
      <c r="AH162" s="60"/>
      <c r="AI162" s="60"/>
    </row>
    <row r="163" customFormat="false" ht="21.75" hidden="false" customHeight="true" outlineLevel="0" collapsed="false">
      <c r="B163" s="104" t="s">
        <v>74</v>
      </c>
      <c r="C163" s="142" t="s">
        <v>162</v>
      </c>
      <c r="D163" s="83" t="s">
        <v>129</v>
      </c>
      <c r="E163" s="84" t="n">
        <v>80</v>
      </c>
      <c r="F163" s="84" t="n">
        <v>50</v>
      </c>
      <c r="G163" s="84" t="n">
        <f aca="false">E163*$G$8</f>
        <v>14.4</v>
      </c>
      <c r="H163" s="84" t="n">
        <f aca="false">SUM(E163:G163)</f>
        <v>144.4</v>
      </c>
      <c r="I163" s="126" t="n">
        <f aca="false">H163*200</f>
        <v>28880</v>
      </c>
      <c r="J163" s="87" t="n">
        <v>5</v>
      </c>
      <c r="K163" s="88" t="n">
        <f aca="false">I163/1000*J163*(1+$K$8)</f>
        <v>158.84</v>
      </c>
      <c r="L163" s="89" t="n">
        <v>3.5</v>
      </c>
      <c r="M163" s="88" t="n">
        <f aca="false">$L$8*L163</f>
        <v>280</v>
      </c>
      <c r="N163" s="88" t="n">
        <f aca="false">SUM(K163:M163)*0.1</f>
        <v>44.234</v>
      </c>
      <c r="O163" s="90" t="n">
        <f aca="false">SUM(K163+M163+N163)</f>
        <v>483.074</v>
      </c>
      <c r="P163" s="91" t="n">
        <f aca="false">$P$159/J163</f>
        <v>10000</v>
      </c>
      <c r="Q163" s="92" t="n">
        <v>1300</v>
      </c>
      <c r="R163" s="93" t="n">
        <f aca="false">(Q163-O163)/Q163</f>
        <v>0.628404615384615</v>
      </c>
      <c r="S163" s="102" t="n">
        <f aca="false">Q163/J163*1000</f>
        <v>260000</v>
      </c>
      <c r="T163" s="136" t="n">
        <f aca="false">AVERAGE(S163:S167)</f>
        <v>161000</v>
      </c>
      <c r="U163" s="127" t="n">
        <v>160000</v>
      </c>
      <c r="V163" s="128" t="n">
        <f aca="false">U163/1000*J163</f>
        <v>800</v>
      </c>
      <c r="W163" s="98" t="n">
        <f aca="false">S163*(1-$W$8)</f>
        <v>260000</v>
      </c>
      <c r="X163" s="98" t="n">
        <f aca="false">S163*(1-$X$8)</f>
        <v>234000</v>
      </c>
      <c r="Y163" s="98" t="n">
        <f aca="false">S163*(1-$Y$8)</f>
        <v>221000</v>
      </c>
      <c r="Z163" s="98" t="n">
        <f aca="false">S163*(1-$Z$8)</f>
        <v>208000</v>
      </c>
      <c r="AA163" s="98" t="n">
        <f aca="false">Q163*(1-$AA$8)</f>
        <v>1040</v>
      </c>
      <c r="AB163" s="93" t="n">
        <f aca="false">(AA163-O163)/AA163</f>
        <v>0.535505769230769</v>
      </c>
      <c r="AC163" s="104" t="s">
        <v>157</v>
      </c>
      <c r="AD163" s="101" t="n">
        <v>200</v>
      </c>
      <c r="AE163" s="101" t="n">
        <v>300</v>
      </c>
      <c r="AF163" s="101" t="n">
        <v>150</v>
      </c>
      <c r="AG163" s="101" t="n">
        <v>50</v>
      </c>
      <c r="AH163" s="101" t="n">
        <v>100</v>
      </c>
      <c r="AI163" s="101" t="n">
        <v>200</v>
      </c>
    </row>
    <row r="164" customFormat="false" ht="21.75" hidden="false" customHeight="true" outlineLevel="0" collapsed="false">
      <c r="B164" s="104"/>
      <c r="C164" s="142"/>
      <c r="D164" s="142"/>
      <c r="E164" s="142"/>
      <c r="F164" s="142"/>
      <c r="G164" s="142"/>
      <c r="H164" s="142"/>
      <c r="I164" s="142"/>
      <c r="J164" s="87" t="n">
        <v>10</v>
      </c>
      <c r="K164" s="88" t="n">
        <f aca="false">I163/1000*J164*(1+$K$8)</f>
        <v>317.68</v>
      </c>
      <c r="L164" s="89" t="n">
        <v>3.5</v>
      </c>
      <c r="M164" s="88" t="n">
        <f aca="false">$L$8*L164</f>
        <v>280</v>
      </c>
      <c r="N164" s="88" t="n">
        <f aca="false">SUM(K164:M164)*0.1</f>
        <v>60.118</v>
      </c>
      <c r="O164" s="90" t="n">
        <f aca="false">SUM(K164+M164+N164)</f>
        <v>657.798</v>
      </c>
      <c r="P164" s="91" t="n">
        <f aca="false">$P$159/J164</f>
        <v>5000</v>
      </c>
      <c r="Q164" s="92" t="n">
        <v>1700</v>
      </c>
      <c r="R164" s="93" t="n">
        <f aca="false">(Q164-O164)/Q164</f>
        <v>0.61306</v>
      </c>
      <c r="S164" s="102" t="n">
        <f aca="false">Q164/J164*1000</f>
        <v>170000</v>
      </c>
      <c r="T164" s="136"/>
      <c r="U164" s="127"/>
      <c r="V164" s="128" t="n">
        <f aca="false">U163/1000*J164</f>
        <v>1600</v>
      </c>
      <c r="W164" s="98" t="n">
        <f aca="false">S164*(1-$W$8)</f>
        <v>170000</v>
      </c>
      <c r="X164" s="98" t="n">
        <f aca="false">S164*(1-$X$8)</f>
        <v>153000</v>
      </c>
      <c r="Y164" s="98" t="n">
        <f aca="false">S164*(1-$Y$8)</f>
        <v>144500</v>
      </c>
      <c r="Z164" s="98" t="n">
        <f aca="false">S164*(1-$Z$8)</f>
        <v>136000</v>
      </c>
      <c r="AA164" s="98" t="n">
        <f aca="false">Q164*(1-$AA$8)</f>
        <v>1360</v>
      </c>
      <c r="AB164" s="93" t="n">
        <f aca="false">(AA164-O164)/AA164</f>
        <v>0.516325</v>
      </c>
      <c r="AC164" s="104" t="s">
        <v>157</v>
      </c>
      <c r="AD164" s="101" t="n">
        <v>200</v>
      </c>
      <c r="AE164" s="101" t="n">
        <v>300</v>
      </c>
      <c r="AF164" s="101" t="n">
        <v>150</v>
      </c>
      <c r="AG164" s="101" t="n">
        <v>50</v>
      </c>
      <c r="AH164" s="101" t="n">
        <v>100</v>
      </c>
      <c r="AI164" s="101" t="n">
        <v>200</v>
      </c>
    </row>
    <row r="165" customFormat="false" ht="21.75" hidden="false" customHeight="true" outlineLevel="0" collapsed="false">
      <c r="B165" s="104"/>
      <c r="C165" s="142"/>
      <c r="D165" s="142"/>
      <c r="E165" s="142"/>
      <c r="F165" s="142"/>
      <c r="G165" s="142"/>
      <c r="H165" s="142"/>
      <c r="I165" s="142"/>
      <c r="J165" s="87" t="n">
        <v>15</v>
      </c>
      <c r="K165" s="88" t="n">
        <f aca="false">I163/1000*J165*(1+$K$8)</f>
        <v>476.52</v>
      </c>
      <c r="L165" s="89" t="n">
        <v>3</v>
      </c>
      <c r="M165" s="88" t="n">
        <f aca="false">$L$8*L165</f>
        <v>240</v>
      </c>
      <c r="N165" s="88" t="n">
        <f aca="false">SUM(K165:M165)*0.1</f>
        <v>71.952</v>
      </c>
      <c r="O165" s="90" t="n">
        <f aca="false">SUM(K165+M165+N165)</f>
        <v>788.472</v>
      </c>
      <c r="P165" s="91" t="n">
        <f aca="false">$P$159/J165</f>
        <v>3333.33333333333</v>
      </c>
      <c r="Q165" s="92" t="n">
        <v>2100</v>
      </c>
      <c r="R165" s="93" t="n">
        <f aca="false">(Q165-O165)/Q165</f>
        <v>0.624537142857143</v>
      </c>
      <c r="S165" s="102" t="n">
        <f aca="false">Q165/J165*1000</f>
        <v>140000</v>
      </c>
      <c r="T165" s="136"/>
      <c r="U165" s="127"/>
      <c r="V165" s="128" t="n">
        <f aca="false">U163/1000*J165</f>
        <v>2400</v>
      </c>
      <c r="W165" s="98" t="n">
        <f aca="false">S165*(1-$W$8)</f>
        <v>140000</v>
      </c>
      <c r="X165" s="98" t="n">
        <f aca="false">S165*(1-$X$8)</f>
        <v>126000</v>
      </c>
      <c r="Y165" s="98" t="n">
        <f aca="false">S165*(1-$Y$8)</f>
        <v>119000</v>
      </c>
      <c r="Z165" s="98" t="n">
        <f aca="false">S165*(1-$Z$8)</f>
        <v>112000</v>
      </c>
      <c r="AA165" s="98" t="n">
        <f aca="false">Q165*(1-$AA$8)</f>
        <v>1680</v>
      </c>
      <c r="AB165" s="93" t="n">
        <f aca="false">(AA165-O165)/AA165</f>
        <v>0.530671428571429</v>
      </c>
      <c r="AC165" s="104" t="s">
        <v>157</v>
      </c>
      <c r="AD165" s="101" t="n">
        <v>200</v>
      </c>
      <c r="AE165" s="101" t="n">
        <v>300</v>
      </c>
      <c r="AF165" s="101" t="n">
        <v>150</v>
      </c>
      <c r="AG165" s="101" t="n">
        <v>50</v>
      </c>
      <c r="AH165" s="101" t="n">
        <v>100</v>
      </c>
      <c r="AI165" s="101" t="n">
        <v>200</v>
      </c>
    </row>
    <row r="166" customFormat="false" ht="21.75" hidden="false" customHeight="true" outlineLevel="0" collapsed="false">
      <c r="B166" s="104"/>
      <c r="C166" s="142"/>
      <c r="D166" s="142"/>
      <c r="E166" s="142"/>
      <c r="F166" s="142"/>
      <c r="G166" s="142"/>
      <c r="H166" s="142"/>
      <c r="I166" s="142"/>
      <c r="J166" s="87" t="n">
        <v>20</v>
      </c>
      <c r="K166" s="88" t="n">
        <f aca="false">I163/1000*J166*(1+$K$8)</f>
        <v>635.36</v>
      </c>
      <c r="L166" s="89" t="n">
        <v>3</v>
      </c>
      <c r="M166" s="88" t="n">
        <f aca="false">$L$8*L166</f>
        <v>240</v>
      </c>
      <c r="N166" s="88" t="n">
        <f aca="false">SUM(K166:M166)*0.1</f>
        <v>87.836</v>
      </c>
      <c r="O166" s="90" t="n">
        <f aca="false">SUM(K166+M166+N166)</f>
        <v>963.196</v>
      </c>
      <c r="P166" s="91" t="n">
        <f aca="false">$P$159/J166</f>
        <v>2500</v>
      </c>
      <c r="Q166" s="92" t="n">
        <v>2500</v>
      </c>
      <c r="R166" s="93" t="n">
        <f aca="false">(Q166-O166)/Q166</f>
        <v>0.6147216</v>
      </c>
      <c r="S166" s="102" t="n">
        <f aca="false">Q166/J166*1000</f>
        <v>125000</v>
      </c>
      <c r="T166" s="136"/>
      <c r="U166" s="127"/>
      <c r="V166" s="128" t="n">
        <f aca="false">U163/1000*J166</f>
        <v>3200</v>
      </c>
      <c r="W166" s="98" t="n">
        <f aca="false">S166*(1-$W$8)</f>
        <v>125000</v>
      </c>
      <c r="X166" s="98" t="n">
        <f aca="false">S166*(1-$X$8)</f>
        <v>112500</v>
      </c>
      <c r="Y166" s="98" t="n">
        <f aca="false">S166*(1-$Y$8)</f>
        <v>106250</v>
      </c>
      <c r="Z166" s="98" t="n">
        <f aca="false">S166*(1-$Z$8)</f>
        <v>100000</v>
      </c>
      <c r="AA166" s="98" t="n">
        <f aca="false">Q166*(1-$AA$8)</f>
        <v>2000</v>
      </c>
      <c r="AB166" s="93" t="n">
        <f aca="false">(AA166-O166)/AA166</f>
        <v>0.518402</v>
      </c>
      <c r="AC166" s="104" t="s">
        <v>157</v>
      </c>
      <c r="AD166" s="101" t="n">
        <v>200</v>
      </c>
      <c r="AE166" s="101" t="n">
        <v>300</v>
      </c>
      <c r="AF166" s="101" t="n">
        <v>150</v>
      </c>
      <c r="AG166" s="101" t="n">
        <v>50</v>
      </c>
      <c r="AH166" s="101" t="n">
        <v>100</v>
      </c>
      <c r="AI166" s="101" t="n">
        <v>200</v>
      </c>
    </row>
    <row r="167" customFormat="false" ht="21.75" hidden="false" customHeight="true" outlineLevel="0" collapsed="false">
      <c r="B167" s="104"/>
      <c r="C167" s="142"/>
      <c r="D167" s="142"/>
      <c r="E167" s="142"/>
      <c r="F167" s="142"/>
      <c r="G167" s="142"/>
      <c r="H167" s="142"/>
      <c r="I167" s="142"/>
      <c r="J167" s="87" t="n">
        <v>30</v>
      </c>
      <c r="K167" s="88" t="n">
        <f aca="false">I163/1000*J167*(1+$K$8)</f>
        <v>953.04</v>
      </c>
      <c r="L167" s="89" t="n">
        <v>3</v>
      </c>
      <c r="M167" s="88" t="n">
        <f aca="false">$L$8*L167</f>
        <v>240</v>
      </c>
      <c r="N167" s="88" t="n">
        <f aca="false">SUM(K167:M167)*0.1</f>
        <v>119.604</v>
      </c>
      <c r="O167" s="90" t="n">
        <f aca="false">SUM(K167+M167+N167)</f>
        <v>1312.644</v>
      </c>
      <c r="P167" s="91" t="n">
        <f aca="false">$P$159/J167</f>
        <v>1666.66666666667</v>
      </c>
      <c r="Q167" s="92" t="n">
        <v>3300</v>
      </c>
      <c r="R167" s="93" t="n">
        <f aca="false">(Q167-O167)/Q167</f>
        <v>0.602229090909091</v>
      </c>
      <c r="S167" s="102" t="n">
        <f aca="false">Q167/J167*1000</f>
        <v>110000</v>
      </c>
      <c r="T167" s="136"/>
      <c r="U167" s="127"/>
      <c r="V167" s="128" t="n">
        <f aca="false">U163/1000*J167</f>
        <v>4800</v>
      </c>
      <c r="W167" s="98" t="n">
        <f aca="false">S167*(1-$W$8)</f>
        <v>110000</v>
      </c>
      <c r="X167" s="98" t="n">
        <f aca="false">S167*(1-$X$8)</f>
        <v>99000</v>
      </c>
      <c r="Y167" s="98" t="n">
        <f aca="false">S167*(1-$Y$8)</f>
        <v>93500</v>
      </c>
      <c r="Z167" s="98" t="n">
        <f aca="false">S167*(1-$Z$8)</f>
        <v>88000</v>
      </c>
      <c r="AA167" s="98" t="n">
        <f aca="false">Q167*(1-$AA$8)</f>
        <v>2640</v>
      </c>
      <c r="AB167" s="93" t="n">
        <f aca="false">(AA167-O167)/AA167</f>
        <v>0.502786363636364</v>
      </c>
      <c r="AC167" s="104" t="s">
        <v>157</v>
      </c>
      <c r="AD167" s="101" t="n">
        <v>200</v>
      </c>
      <c r="AE167" s="101" t="n">
        <v>300</v>
      </c>
      <c r="AF167" s="101" t="n">
        <v>150</v>
      </c>
      <c r="AG167" s="101" t="n">
        <v>50</v>
      </c>
      <c r="AH167" s="101" t="n">
        <v>100</v>
      </c>
      <c r="AI167" s="101" t="n">
        <v>200</v>
      </c>
    </row>
    <row r="168" customFormat="false" ht="21.75" hidden="false" customHeight="true" outlineLevel="0" collapsed="false">
      <c r="B168" s="104"/>
      <c r="C168" s="108" t="s">
        <v>163</v>
      </c>
      <c r="D168" s="83" t="s">
        <v>129</v>
      </c>
      <c r="E168" s="84" t="n">
        <v>80</v>
      </c>
      <c r="F168" s="84" t="n">
        <v>50</v>
      </c>
      <c r="G168" s="84" t="n">
        <f aca="false">E168*$G$8</f>
        <v>14.4</v>
      </c>
      <c r="H168" s="84" t="n">
        <f aca="false">SUM(E168:G168)</f>
        <v>144.4</v>
      </c>
      <c r="I168" s="126" t="n">
        <f aca="false">H168*200</f>
        <v>28880</v>
      </c>
      <c r="J168" s="87" t="n">
        <v>5</v>
      </c>
      <c r="K168" s="88" t="n">
        <f aca="false">I168/1000*J168*(1+$K$8)</f>
        <v>158.84</v>
      </c>
      <c r="L168" s="89" t="n">
        <v>3.5</v>
      </c>
      <c r="M168" s="88" t="n">
        <f aca="false">$L$8*L168</f>
        <v>280</v>
      </c>
      <c r="N168" s="88" t="n">
        <f aca="false">SUM(K168:M168)*0.1</f>
        <v>44.234</v>
      </c>
      <c r="O168" s="90" t="n">
        <f aca="false">SUM(K168+M168+N168)</f>
        <v>483.074</v>
      </c>
      <c r="P168" s="91" t="n">
        <f aca="false">$P$159/J168</f>
        <v>10000</v>
      </c>
      <c r="Q168" s="92" t="n">
        <v>1300</v>
      </c>
      <c r="R168" s="93" t="n">
        <f aca="false">(Q168-O168)/Q168</f>
        <v>0.628404615384615</v>
      </c>
      <c r="S168" s="102" t="n">
        <f aca="false">Q168/J168*1000</f>
        <v>260000</v>
      </c>
      <c r="T168" s="136" t="n">
        <f aca="false">AVERAGE(S168:S172)</f>
        <v>161000</v>
      </c>
      <c r="U168" s="127" t="n">
        <v>160000</v>
      </c>
      <c r="V168" s="128"/>
      <c r="W168" s="98" t="n">
        <f aca="false">S168*(1-$W$8)</f>
        <v>260000</v>
      </c>
      <c r="X168" s="98" t="n">
        <f aca="false">S168*(1-$X$8)</f>
        <v>234000</v>
      </c>
      <c r="Y168" s="98" t="n">
        <f aca="false">S168*(1-$Y$8)</f>
        <v>221000</v>
      </c>
      <c r="Z168" s="98" t="n">
        <f aca="false">S168*(1-$Z$8)</f>
        <v>208000</v>
      </c>
      <c r="AA168" s="98" t="n">
        <f aca="false">Q168*(1-$AA$8)</f>
        <v>1040</v>
      </c>
      <c r="AB168" s="93" t="n">
        <f aca="false">(AA168-O168)/AA168</f>
        <v>0.535505769230769</v>
      </c>
      <c r="AC168" s="104" t="s">
        <v>157</v>
      </c>
      <c r="AD168" s="101" t="n">
        <v>200</v>
      </c>
      <c r="AE168" s="101" t="n">
        <v>300</v>
      </c>
      <c r="AF168" s="101" t="n">
        <v>150</v>
      </c>
      <c r="AG168" s="101" t="n">
        <v>50</v>
      </c>
      <c r="AH168" s="101" t="n">
        <v>100</v>
      </c>
      <c r="AI168" s="101" t="n">
        <v>200</v>
      </c>
    </row>
    <row r="169" customFormat="false" ht="21.75" hidden="false" customHeight="true" outlineLevel="0" collapsed="false">
      <c r="B169" s="104"/>
      <c r="C169" s="108"/>
      <c r="D169" s="108"/>
      <c r="E169" s="108"/>
      <c r="F169" s="108"/>
      <c r="G169" s="108"/>
      <c r="H169" s="108"/>
      <c r="I169" s="108"/>
      <c r="J169" s="87" t="n">
        <v>10</v>
      </c>
      <c r="K169" s="88" t="n">
        <f aca="false">I168/1000*J169*(1+$K$8)</f>
        <v>317.68</v>
      </c>
      <c r="L169" s="89" t="n">
        <v>3.5</v>
      </c>
      <c r="M169" s="88" t="n">
        <f aca="false">$L$8*L169</f>
        <v>280</v>
      </c>
      <c r="N169" s="88" t="n">
        <f aca="false">SUM(K169:M169)*0.1</f>
        <v>60.118</v>
      </c>
      <c r="O169" s="90" t="n">
        <f aca="false">SUM(K169+M169+N169)</f>
        <v>657.798</v>
      </c>
      <c r="P169" s="91" t="n">
        <f aca="false">$P$159/J169</f>
        <v>5000</v>
      </c>
      <c r="Q169" s="92" t="n">
        <v>1700</v>
      </c>
      <c r="R169" s="93" t="n">
        <f aca="false">(Q169-O169)/Q169</f>
        <v>0.61306</v>
      </c>
      <c r="S169" s="102" t="n">
        <f aca="false">Q169/J169*1000</f>
        <v>170000</v>
      </c>
      <c r="T169" s="136"/>
      <c r="U169" s="127"/>
      <c r="V169" s="129"/>
      <c r="W169" s="98" t="n">
        <f aca="false">S169*(1-$W$8)</f>
        <v>170000</v>
      </c>
      <c r="X169" s="98" t="n">
        <f aca="false">S169*(1-$X$8)</f>
        <v>153000</v>
      </c>
      <c r="Y169" s="98" t="n">
        <f aca="false">S169*(1-$Y$8)</f>
        <v>144500</v>
      </c>
      <c r="Z169" s="98" t="n">
        <f aca="false">S169*(1-$Z$8)</f>
        <v>136000</v>
      </c>
      <c r="AA169" s="98" t="n">
        <f aca="false">Q169*(1-$AA$8)</f>
        <v>1360</v>
      </c>
      <c r="AB169" s="93" t="n">
        <f aca="false">(AA169-O169)/AA169</f>
        <v>0.516325</v>
      </c>
      <c r="AC169" s="104" t="s">
        <v>157</v>
      </c>
      <c r="AD169" s="101" t="n">
        <v>200</v>
      </c>
      <c r="AE169" s="101" t="n">
        <v>300</v>
      </c>
      <c r="AF169" s="101" t="n">
        <v>150</v>
      </c>
      <c r="AG169" s="101" t="n">
        <v>50</v>
      </c>
      <c r="AH169" s="101" t="n">
        <v>100</v>
      </c>
      <c r="AI169" s="101" t="n">
        <v>200</v>
      </c>
    </row>
    <row r="170" customFormat="false" ht="21.75" hidden="false" customHeight="true" outlineLevel="0" collapsed="false">
      <c r="B170" s="104"/>
      <c r="C170" s="108"/>
      <c r="D170" s="108"/>
      <c r="E170" s="108"/>
      <c r="F170" s="108"/>
      <c r="G170" s="108"/>
      <c r="H170" s="108"/>
      <c r="I170" s="108"/>
      <c r="J170" s="87" t="n">
        <v>15</v>
      </c>
      <c r="K170" s="88" t="n">
        <f aca="false">I168/1000*J170*(1+$K$8)</f>
        <v>476.52</v>
      </c>
      <c r="L170" s="89" t="n">
        <v>3</v>
      </c>
      <c r="M170" s="88" t="n">
        <f aca="false">$L$8*L170</f>
        <v>240</v>
      </c>
      <c r="N170" s="88" t="n">
        <f aca="false">SUM(K170:M170)*0.1</f>
        <v>71.952</v>
      </c>
      <c r="O170" s="90" t="n">
        <f aca="false">SUM(K170+M170+N170)</f>
        <v>788.472</v>
      </c>
      <c r="P170" s="91" t="n">
        <f aca="false">$P$159/J170</f>
        <v>3333.33333333333</v>
      </c>
      <c r="Q170" s="92" t="n">
        <v>2100</v>
      </c>
      <c r="R170" s="93" t="n">
        <f aca="false">(Q170-O170)/Q170</f>
        <v>0.624537142857143</v>
      </c>
      <c r="S170" s="102" t="n">
        <f aca="false">Q170/J170*1000</f>
        <v>140000</v>
      </c>
      <c r="T170" s="136"/>
      <c r="U170" s="127"/>
      <c r="V170" s="129"/>
      <c r="W170" s="98" t="n">
        <f aca="false">S170*(1-$W$8)</f>
        <v>140000</v>
      </c>
      <c r="X170" s="98" t="n">
        <f aca="false">S170*(1-$X$8)</f>
        <v>126000</v>
      </c>
      <c r="Y170" s="98" t="n">
        <f aca="false">S170*(1-$Y$8)</f>
        <v>119000</v>
      </c>
      <c r="Z170" s="98" t="n">
        <f aca="false">S170*(1-$Z$8)</f>
        <v>112000</v>
      </c>
      <c r="AA170" s="98" t="n">
        <f aca="false">Q170*(1-$AA$8)</f>
        <v>1680</v>
      </c>
      <c r="AB170" s="93" t="n">
        <f aca="false">(AA170-O170)/AA170</f>
        <v>0.530671428571429</v>
      </c>
      <c r="AC170" s="104" t="s">
        <v>157</v>
      </c>
      <c r="AD170" s="101" t="n">
        <v>200</v>
      </c>
      <c r="AE170" s="101" t="n">
        <v>300</v>
      </c>
      <c r="AF170" s="101" t="n">
        <v>150</v>
      </c>
      <c r="AG170" s="101" t="n">
        <v>50</v>
      </c>
      <c r="AH170" s="101" t="n">
        <v>100</v>
      </c>
      <c r="AI170" s="101" t="n">
        <v>200</v>
      </c>
    </row>
    <row r="171" customFormat="false" ht="21.75" hidden="false" customHeight="true" outlineLevel="0" collapsed="false">
      <c r="B171" s="104"/>
      <c r="C171" s="108"/>
      <c r="D171" s="108"/>
      <c r="E171" s="108"/>
      <c r="F171" s="108"/>
      <c r="G171" s="108"/>
      <c r="H171" s="108"/>
      <c r="I171" s="108"/>
      <c r="J171" s="87" t="n">
        <v>20</v>
      </c>
      <c r="K171" s="88" t="n">
        <f aca="false">I168/1000*J171*(1+$K$8)</f>
        <v>635.36</v>
      </c>
      <c r="L171" s="89" t="n">
        <v>3</v>
      </c>
      <c r="M171" s="88" t="n">
        <f aca="false">$L$8*L171</f>
        <v>240</v>
      </c>
      <c r="N171" s="88" t="n">
        <f aca="false">SUM(K171:M171)*0.1</f>
        <v>87.836</v>
      </c>
      <c r="O171" s="90" t="n">
        <f aca="false">SUM(K171+M171+N171)</f>
        <v>963.196</v>
      </c>
      <c r="P171" s="91" t="n">
        <f aca="false">$P$159/J171</f>
        <v>2500</v>
      </c>
      <c r="Q171" s="92" t="n">
        <v>2500</v>
      </c>
      <c r="R171" s="93" t="n">
        <f aca="false">(Q171-O171)/Q171</f>
        <v>0.6147216</v>
      </c>
      <c r="S171" s="102" t="n">
        <f aca="false">Q171/J171*1000</f>
        <v>125000</v>
      </c>
      <c r="T171" s="136"/>
      <c r="U171" s="127"/>
      <c r="V171" s="129"/>
      <c r="W171" s="98" t="n">
        <f aca="false">S171*(1-$W$8)</f>
        <v>125000</v>
      </c>
      <c r="X171" s="98" t="n">
        <f aca="false">S171*(1-$X$8)</f>
        <v>112500</v>
      </c>
      <c r="Y171" s="98" t="n">
        <f aca="false">S171*(1-$Y$8)</f>
        <v>106250</v>
      </c>
      <c r="Z171" s="98" t="n">
        <f aca="false">S171*(1-$Z$8)</f>
        <v>100000</v>
      </c>
      <c r="AA171" s="98" t="n">
        <f aca="false">Q171*(1-$AA$8)</f>
        <v>2000</v>
      </c>
      <c r="AB171" s="93" t="n">
        <f aca="false">(AA171-O171)/AA171</f>
        <v>0.518402</v>
      </c>
      <c r="AC171" s="104" t="s">
        <v>157</v>
      </c>
      <c r="AD171" s="101" t="n">
        <v>200</v>
      </c>
      <c r="AE171" s="101" t="n">
        <v>300</v>
      </c>
      <c r="AF171" s="101" t="n">
        <v>150</v>
      </c>
      <c r="AG171" s="101" t="n">
        <v>50</v>
      </c>
      <c r="AH171" s="101" t="n">
        <v>100</v>
      </c>
      <c r="AI171" s="101" t="n">
        <v>200</v>
      </c>
    </row>
    <row r="172" customFormat="false" ht="21.75" hidden="false" customHeight="true" outlineLevel="0" collapsed="false">
      <c r="B172" s="104"/>
      <c r="C172" s="108"/>
      <c r="D172" s="108"/>
      <c r="E172" s="108"/>
      <c r="F172" s="108"/>
      <c r="G172" s="108"/>
      <c r="H172" s="108"/>
      <c r="I172" s="108"/>
      <c r="J172" s="87" t="n">
        <v>30</v>
      </c>
      <c r="K172" s="88" t="n">
        <f aca="false">I168/1000*J172*(1+$K$8)</f>
        <v>953.04</v>
      </c>
      <c r="L172" s="89" t="n">
        <v>3</v>
      </c>
      <c r="M172" s="88" t="n">
        <f aca="false">$L$8*L172</f>
        <v>240</v>
      </c>
      <c r="N172" s="88" t="n">
        <f aca="false">SUM(K172:M172)*0.1</f>
        <v>119.604</v>
      </c>
      <c r="O172" s="90" t="n">
        <f aca="false">SUM(K172+M172+N172)</f>
        <v>1312.644</v>
      </c>
      <c r="P172" s="91" t="n">
        <f aca="false">$P$159/J172</f>
        <v>1666.66666666667</v>
      </c>
      <c r="Q172" s="92" t="n">
        <v>3300</v>
      </c>
      <c r="R172" s="93" t="n">
        <f aca="false">(Q172-O172)/Q172</f>
        <v>0.602229090909091</v>
      </c>
      <c r="S172" s="102" t="n">
        <f aca="false">Q172/J172*1000</f>
        <v>110000</v>
      </c>
      <c r="T172" s="136"/>
      <c r="U172" s="127"/>
      <c r="V172" s="130"/>
      <c r="W172" s="98" t="n">
        <f aca="false">S172*(1-$W$8)</f>
        <v>110000</v>
      </c>
      <c r="X172" s="98" t="n">
        <f aca="false">S172*(1-$X$8)</f>
        <v>99000</v>
      </c>
      <c r="Y172" s="98" t="n">
        <f aca="false">S172*(1-$Y$8)</f>
        <v>93500</v>
      </c>
      <c r="Z172" s="98" t="n">
        <f aca="false">S172*(1-$Z$8)</f>
        <v>88000</v>
      </c>
      <c r="AA172" s="98" t="n">
        <f aca="false">Q172*(1-$AA$8)</f>
        <v>2640</v>
      </c>
      <c r="AB172" s="93" t="n">
        <f aca="false">(AA172-O172)/AA172</f>
        <v>0.502786363636364</v>
      </c>
      <c r="AC172" s="104" t="s">
        <v>157</v>
      </c>
      <c r="AD172" s="101" t="n">
        <v>200</v>
      </c>
      <c r="AE172" s="101" t="n">
        <v>300</v>
      </c>
      <c r="AF172" s="101" t="n">
        <v>150</v>
      </c>
      <c r="AG172" s="101" t="n">
        <v>50</v>
      </c>
      <c r="AH172" s="101" t="n">
        <v>100</v>
      </c>
      <c r="AI172" s="101" t="n">
        <v>200</v>
      </c>
    </row>
    <row r="173" customFormat="false" ht="21.75" hidden="false" customHeight="true" outlineLevel="0" collapsed="false">
      <c r="B173" s="104"/>
      <c r="C173" s="108" t="s">
        <v>164</v>
      </c>
      <c r="D173" s="83" t="s">
        <v>129</v>
      </c>
      <c r="E173" s="84" t="n">
        <v>80</v>
      </c>
      <c r="F173" s="84" t="n">
        <v>50</v>
      </c>
      <c r="G173" s="84" t="n">
        <f aca="false">E173*$G$8</f>
        <v>14.4</v>
      </c>
      <c r="H173" s="84" t="n">
        <f aca="false">SUM(E173:G173)</f>
        <v>144.4</v>
      </c>
      <c r="I173" s="126" t="n">
        <f aca="false">H173*200</f>
        <v>28880</v>
      </c>
      <c r="J173" s="87" t="n">
        <v>5</v>
      </c>
      <c r="K173" s="88" t="n">
        <f aca="false">I173/1000*J173*(1+$K$8)</f>
        <v>158.84</v>
      </c>
      <c r="L173" s="89" t="n">
        <v>3.5</v>
      </c>
      <c r="M173" s="88" t="n">
        <f aca="false">$L$8*L173</f>
        <v>280</v>
      </c>
      <c r="N173" s="88" t="n">
        <f aca="false">SUM(K173:M173)*0.1</f>
        <v>44.234</v>
      </c>
      <c r="O173" s="90" t="n">
        <f aca="false">SUM(K173+M173+N173)</f>
        <v>483.074</v>
      </c>
      <c r="P173" s="91" t="n">
        <f aca="false">$P$159/J173</f>
        <v>10000</v>
      </c>
      <c r="Q173" s="92" t="n">
        <v>1300</v>
      </c>
      <c r="R173" s="93" t="n">
        <f aca="false">(Q173-O173)/Q173</f>
        <v>0.628404615384615</v>
      </c>
      <c r="S173" s="102" t="n">
        <f aca="false">Q173/J173*1000</f>
        <v>260000</v>
      </c>
      <c r="T173" s="137"/>
      <c r="U173" s="127" t="n">
        <v>160000</v>
      </c>
      <c r="V173" s="128"/>
      <c r="W173" s="98" t="n">
        <f aca="false">S173*(1-$W$8)</f>
        <v>260000</v>
      </c>
      <c r="X173" s="98" t="n">
        <f aca="false">S173*(1-$X$8)</f>
        <v>234000</v>
      </c>
      <c r="Y173" s="98" t="n">
        <f aca="false">S173*(1-$Y$8)</f>
        <v>221000</v>
      </c>
      <c r="Z173" s="98" t="n">
        <f aca="false">S173*(1-$Z$8)</f>
        <v>208000</v>
      </c>
      <c r="AA173" s="98" t="n">
        <f aca="false">Q173*(1-$AA$8)</f>
        <v>1040</v>
      </c>
      <c r="AB173" s="93" t="n">
        <f aca="false">(AA173-O173)/AA173</f>
        <v>0.535505769230769</v>
      </c>
      <c r="AC173" s="104" t="s">
        <v>157</v>
      </c>
      <c r="AD173" s="101" t="n">
        <v>200</v>
      </c>
      <c r="AE173" s="101" t="n">
        <v>300</v>
      </c>
      <c r="AF173" s="101" t="n">
        <v>150</v>
      </c>
      <c r="AG173" s="101" t="n">
        <v>50</v>
      </c>
      <c r="AH173" s="101" t="n">
        <v>100</v>
      </c>
      <c r="AI173" s="101" t="n">
        <v>200</v>
      </c>
    </row>
    <row r="174" customFormat="false" ht="21.75" hidden="false" customHeight="true" outlineLevel="0" collapsed="false">
      <c r="B174" s="104"/>
      <c r="C174" s="108"/>
      <c r="D174" s="108"/>
      <c r="E174" s="108"/>
      <c r="F174" s="108"/>
      <c r="G174" s="108"/>
      <c r="H174" s="108"/>
      <c r="I174" s="108"/>
      <c r="J174" s="87" t="n">
        <v>10</v>
      </c>
      <c r="K174" s="88" t="n">
        <f aca="false">I173/1000*J174*(1+$K$8)</f>
        <v>317.68</v>
      </c>
      <c r="L174" s="89" t="n">
        <v>3.5</v>
      </c>
      <c r="M174" s="88" t="n">
        <f aca="false">$L$8*L174</f>
        <v>280</v>
      </c>
      <c r="N174" s="88" t="n">
        <f aca="false">SUM(K174:M174)*0.1</f>
        <v>60.118</v>
      </c>
      <c r="O174" s="90" t="n">
        <f aca="false">SUM(K174+M174+N174)</f>
        <v>657.798</v>
      </c>
      <c r="P174" s="91" t="n">
        <f aca="false">$P$159/J174</f>
        <v>5000</v>
      </c>
      <c r="Q174" s="92" t="n">
        <v>1700</v>
      </c>
      <c r="R174" s="93" t="n">
        <f aca="false">(Q174-O174)/Q174</f>
        <v>0.61306</v>
      </c>
      <c r="S174" s="102" t="n">
        <f aca="false">Q174/J174*1000</f>
        <v>170000</v>
      </c>
      <c r="T174" s="138"/>
      <c r="U174" s="127"/>
      <c r="V174" s="129"/>
      <c r="W174" s="98" t="n">
        <f aca="false">S174*(1-$W$8)</f>
        <v>170000</v>
      </c>
      <c r="X174" s="98" t="n">
        <f aca="false">S174*(1-$X$8)</f>
        <v>153000</v>
      </c>
      <c r="Y174" s="98" t="n">
        <f aca="false">S174*(1-$Y$8)</f>
        <v>144500</v>
      </c>
      <c r="Z174" s="98" t="n">
        <f aca="false">S174*(1-$Z$8)</f>
        <v>136000</v>
      </c>
      <c r="AA174" s="98" t="n">
        <f aca="false">Q174*(1-$AA$8)</f>
        <v>1360</v>
      </c>
      <c r="AB174" s="93" t="n">
        <f aca="false">(AA174-O174)/AA174</f>
        <v>0.516325</v>
      </c>
      <c r="AC174" s="104" t="s">
        <v>157</v>
      </c>
      <c r="AD174" s="101" t="n">
        <v>200</v>
      </c>
      <c r="AE174" s="101" t="n">
        <v>300</v>
      </c>
      <c r="AF174" s="101" t="n">
        <v>150</v>
      </c>
      <c r="AG174" s="101" t="n">
        <v>50</v>
      </c>
      <c r="AH174" s="101" t="n">
        <v>100</v>
      </c>
      <c r="AI174" s="101" t="n">
        <v>200</v>
      </c>
    </row>
    <row r="175" customFormat="false" ht="21.75" hidden="false" customHeight="true" outlineLevel="0" collapsed="false">
      <c r="B175" s="104"/>
      <c r="C175" s="108"/>
      <c r="D175" s="108"/>
      <c r="E175" s="108"/>
      <c r="F175" s="108"/>
      <c r="G175" s="108"/>
      <c r="H175" s="108"/>
      <c r="I175" s="108"/>
      <c r="J175" s="87" t="n">
        <v>15</v>
      </c>
      <c r="K175" s="88" t="n">
        <f aca="false">I173/1000*J175*(1+$K$8)</f>
        <v>476.52</v>
      </c>
      <c r="L175" s="89" t="n">
        <v>3.5</v>
      </c>
      <c r="M175" s="88" t="n">
        <f aca="false">$L$8*L175</f>
        <v>280</v>
      </c>
      <c r="N175" s="88" t="n">
        <f aca="false">SUM(K175:M175)*0.1</f>
        <v>76.002</v>
      </c>
      <c r="O175" s="90" t="n">
        <f aca="false">SUM(K175+M175+N175)</f>
        <v>832.522</v>
      </c>
      <c r="P175" s="91" t="n">
        <f aca="false">$P$159/J175</f>
        <v>3333.33333333333</v>
      </c>
      <c r="Q175" s="92" t="n">
        <v>2100</v>
      </c>
      <c r="R175" s="93" t="n">
        <f aca="false">(Q175-O175)/Q175</f>
        <v>0.603560952380952</v>
      </c>
      <c r="S175" s="102" t="n">
        <f aca="false">Q175/J175*1000</f>
        <v>140000</v>
      </c>
      <c r="T175" s="138"/>
      <c r="U175" s="127"/>
      <c r="V175" s="129"/>
      <c r="W175" s="98" t="n">
        <f aca="false">S175*(1-$W$8)</f>
        <v>140000</v>
      </c>
      <c r="X175" s="98" t="n">
        <f aca="false">S175*(1-$X$8)</f>
        <v>126000</v>
      </c>
      <c r="Y175" s="98" t="n">
        <f aca="false">S175*(1-$Y$8)</f>
        <v>119000</v>
      </c>
      <c r="Z175" s="98" t="n">
        <f aca="false">S175*(1-$Z$8)</f>
        <v>112000</v>
      </c>
      <c r="AA175" s="98" t="n">
        <f aca="false">Q175*(1-$AA$8)</f>
        <v>1680</v>
      </c>
      <c r="AB175" s="93" t="n">
        <f aca="false">(AA175-O175)/AA175</f>
        <v>0.504451190476191</v>
      </c>
      <c r="AC175" s="104" t="s">
        <v>157</v>
      </c>
      <c r="AD175" s="101" t="n">
        <v>200</v>
      </c>
      <c r="AE175" s="101" t="n">
        <v>300</v>
      </c>
      <c r="AF175" s="101" t="n">
        <v>150</v>
      </c>
      <c r="AG175" s="101" t="n">
        <v>50</v>
      </c>
      <c r="AH175" s="101" t="n">
        <v>100</v>
      </c>
      <c r="AI175" s="101" t="n">
        <v>200</v>
      </c>
    </row>
    <row r="176" customFormat="false" ht="21.75" hidden="false" customHeight="true" outlineLevel="0" collapsed="false">
      <c r="B176" s="104"/>
      <c r="C176" s="108"/>
      <c r="D176" s="108"/>
      <c r="E176" s="108"/>
      <c r="F176" s="108"/>
      <c r="G176" s="108"/>
      <c r="H176" s="108"/>
      <c r="I176" s="108"/>
      <c r="J176" s="87" t="n">
        <v>20</v>
      </c>
      <c r="K176" s="88" t="n">
        <f aca="false">I173/1000*J176*(1+$K$8)</f>
        <v>635.36</v>
      </c>
      <c r="L176" s="89" t="n">
        <v>3.5</v>
      </c>
      <c r="M176" s="88" t="n">
        <f aca="false">$L$8*L176</f>
        <v>280</v>
      </c>
      <c r="N176" s="88" t="n">
        <f aca="false">SUM(K176:M176)*0.1</f>
        <v>91.886</v>
      </c>
      <c r="O176" s="90" t="n">
        <f aca="false">SUM(K176+M176+N176)</f>
        <v>1007.246</v>
      </c>
      <c r="P176" s="91" t="n">
        <f aca="false">$P$159/J176</f>
        <v>2500</v>
      </c>
      <c r="Q176" s="92" t="n">
        <v>2500</v>
      </c>
      <c r="R176" s="93" t="n">
        <f aca="false">(Q176-O176)/Q176</f>
        <v>0.5971016</v>
      </c>
      <c r="S176" s="102" t="n">
        <f aca="false">Q176/J176*1000</f>
        <v>125000</v>
      </c>
      <c r="T176" s="138"/>
      <c r="U176" s="127"/>
      <c r="V176" s="129"/>
      <c r="W176" s="98" t="n">
        <f aca="false">S176*(1-$W$8)</f>
        <v>125000</v>
      </c>
      <c r="X176" s="98" t="n">
        <f aca="false">S176*(1-$X$8)</f>
        <v>112500</v>
      </c>
      <c r="Y176" s="98" t="n">
        <f aca="false">S176*(1-$Y$8)</f>
        <v>106250</v>
      </c>
      <c r="Z176" s="98" t="n">
        <f aca="false">S176*(1-$Z$8)</f>
        <v>100000</v>
      </c>
      <c r="AA176" s="98" t="n">
        <f aca="false">Q176*(1-$AA$8)</f>
        <v>2000</v>
      </c>
      <c r="AB176" s="93" t="n">
        <f aca="false">(AA176-O176)/AA176</f>
        <v>0.496377</v>
      </c>
      <c r="AC176" s="104" t="s">
        <v>157</v>
      </c>
      <c r="AD176" s="101" t="n">
        <v>200</v>
      </c>
      <c r="AE176" s="101" t="n">
        <v>300</v>
      </c>
      <c r="AF176" s="101" t="n">
        <v>150</v>
      </c>
      <c r="AG176" s="101" t="n">
        <v>50</v>
      </c>
      <c r="AH176" s="101" t="n">
        <v>100</v>
      </c>
      <c r="AI176" s="101" t="n">
        <v>200</v>
      </c>
    </row>
    <row r="177" customFormat="false" ht="21.75" hidden="false" customHeight="true" outlineLevel="0" collapsed="false">
      <c r="B177" s="104"/>
      <c r="C177" s="108"/>
      <c r="D177" s="108"/>
      <c r="E177" s="108"/>
      <c r="F177" s="108"/>
      <c r="G177" s="108"/>
      <c r="H177" s="108"/>
      <c r="I177" s="108"/>
      <c r="J177" s="87" t="n">
        <v>30</v>
      </c>
      <c r="K177" s="88" t="n">
        <f aca="false">I173/1000*J177*(1+$K$8)</f>
        <v>953.04</v>
      </c>
      <c r="L177" s="89" t="n">
        <v>3.5</v>
      </c>
      <c r="M177" s="88" t="n">
        <f aca="false">$L$8*L177</f>
        <v>280</v>
      </c>
      <c r="N177" s="88" t="n">
        <f aca="false">SUM(K177:M177)*0.1</f>
        <v>123.654</v>
      </c>
      <c r="O177" s="90" t="n">
        <f aca="false">SUM(K177+M177+N177)</f>
        <v>1356.694</v>
      </c>
      <c r="P177" s="91" t="n">
        <f aca="false">$P$159/J177</f>
        <v>1666.66666666667</v>
      </c>
      <c r="Q177" s="92" t="n">
        <v>3300</v>
      </c>
      <c r="R177" s="93" t="n">
        <f aca="false">(Q177-O177)/Q177</f>
        <v>0.588880606060606</v>
      </c>
      <c r="S177" s="102" t="n">
        <f aca="false">Q177/J177*1000</f>
        <v>110000</v>
      </c>
      <c r="T177" s="139"/>
      <c r="U177" s="127"/>
      <c r="V177" s="130"/>
      <c r="W177" s="98" t="n">
        <f aca="false">S177*(1-$W$8)</f>
        <v>110000</v>
      </c>
      <c r="X177" s="98" t="n">
        <f aca="false">S177*(1-$X$8)</f>
        <v>99000</v>
      </c>
      <c r="Y177" s="98" t="n">
        <f aca="false">S177*(1-$Y$8)</f>
        <v>93500</v>
      </c>
      <c r="Z177" s="98" t="n">
        <f aca="false">S177*(1-$Z$8)</f>
        <v>88000</v>
      </c>
      <c r="AA177" s="98" t="n">
        <f aca="false">Q177*(1-$AA$8)</f>
        <v>2640</v>
      </c>
      <c r="AB177" s="93" t="n">
        <f aca="false">(AA177-O177)/AA177</f>
        <v>0.486100757575758</v>
      </c>
      <c r="AC177" s="104" t="s">
        <v>157</v>
      </c>
      <c r="AD177" s="101" t="n">
        <v>200</v>
      </c>
      <c r="AE177" s="101" t="n">
        <v>300</v>
      </c>
      <c r="AF177" s="101" t="n">
        <v>150</v>
      </c>
      <c r="AG177" s="101" t="n">
        <v>50</v>
      </c>
      <c r="AH177" s="101" t="n">
        <v>100</v>
      </c>
      <c r="AI177" s="101" t="n">
        <v>200</v>
      </c>
    </row>
    <row r="178" customFormat="false" ht="21.75" hidden="false" customHeight="true" outlineLevel="0" collapsed="false">
      <c r="C178" s="110"/>
      <c r="D178" s="110"/>
      <c r="E178" s="111"/>
      <c r="F178" s="111"/>
      <c r="G178" s="111"/>
      <c r="H178" s="111"/>
      <c r="I178" s="131"/>
      <c r="K178" s="55"/>
      <c r="L178" s="114"/>
      <c r="M178" s="55"/>
      <c r="N178" s="55"/>
      <c r="O178" s="115"/>
      <c r="Q178" s="140"/>
      <c r="R178" s="116"/>
      <c r="S178" s="117"/>
      <c r="T178" s="141"/>
      <c r="U178" s="132"/>
      <c r="V178" s="132"/>
      <c r="W178" s="117"/>
      <c r="X178" s="117"/>
      <c r="Y178" s="117"/>
      <c r="Z178" s="117"/>
      <c r="AA178" s="117"/>
      <c r="AB178" s="116"/>
      <c r="AD178" s="119"/>
      <c r="AE178" s="119"/>
      <c r="AF178" s="119"/>
      <c r="AG178" s="119"/>
      <c r="AH178" s="119"/>
      <c r="AI178" s="119"/>
    </row>
    <row r="179" customFormat="false" ht="21.75" hidden="false" customHeight="true" outlineLevel="0" collapsed="false">
      <c r="C179" s="110"/>
      <c r="D179" s="110"/>
      <c r="E179" s="111"/>
      <c r="F179" s="111"/>
      <c r="G179" s="111"/>
      <c r="H179" s="111"/>
      <c r="I179" s="131"/>
      <c r="K179" s="55"/>
      <c r="L179" s="114"/>
      <c r="M179" s="55"/>
      <c r="N179" s="55"/>
      <c r="O179" s="115"/>
      <c r="Q179" s="140"/>
      <c r="R179" s="116"/>
      <c r="S179" s="117"/>
      <c r="T179" s="141"/>
      <c r="U179" s="132"/>
      <c r="V179" s="132"/>
      <c r="W179" s="117"/>
      <c r="X179" s="117"/>
      <c r="Y179" s="117"/>
      <c r="Z179" s="117"/>
      <c r="AA179" s="117"/>
      <c r="AB179" s="116"/>
      <c r="AD179" s="119"/>
      <c r="AE179" s="119"/>
      <c r="AF179" s="119"/>
      <c r="AG179" s="119"/>
      <c r="AH179" s="119"/>
      <c r="AI179" s="119"/>
    </row>
    <row r="180" customFormat="false" ht="34.5" hidden="false" customHeight="true" outlineLevel="0" collapsed="false">
      <c r="B180" s="51" t="s">
        <v>165</v>
      </c>
      <c r="C180" s="54"/>
      <c r="D180" s="54"/>
      <c r="E180" s="54"/>
      <c r="F180" s="54"/>
      <c r="K180" s="55"/>
    </row>
    <row r="181" customFormat="false" ht="21.75" hidden="false" customHeight="true" outlineLevel="0" collapsed="false">
      <c r="K181" s="56"/>
      <c r="M181" s="47" t="s">
        <v>89</v>
      </c>
      <c r="Q181" s="57" t="s">
        <v>90</v>
      </c>
      <c r="U181" s="57" t="s">
        <v>91</v>
      </c>
      <c r="V181" s="47"/>
      <c r="W181" s="58" t="s">
        <v>92</v>
      </c>
      <c r="X181" s="58"/>
      <c r="Y181" s="58"/>
      <c r="Z181" s="58"/>
      <c r="AA181" s="59"/>
      <c r="AB181" s="59"/>
      <c r="AD181" s="60" t="s">
        <v>93</v>
      </c>
      <c r="AE181" s="60"/>
      <c r="AF181" s="60"/>
      <c r="AG181" s="60"/>
      <c r="AH181" s="60"/>
      <c r="AI181" s="60"/>
    </row>
    <row r="182" customFormat="false" ht="21.75" hidden="false" customHeight="true" outlineLevel="0" collapsed="false">
      <c r="B182" s="61" t="s">
        <v>94</v>
      </c>
      <c r="C182" s="61" t="s">
        <v>8</v>
      </c>
      <c r="D182" s="61" t="s">
        <v>95</v>
      </c>
      <c r="E182" s="62" t="s">
        <v>96</v>
      </c>
      <c r="F182" s="62" t="s">
        <v>97</v>
      </c>
      <c r="G182" s="62" t="s">
        <v>98</v>
      </c>
      <c r="H182" s="62" t="s">
        <v>99</v>
      </c>
      <c r="I182" s="62" t="s">
        <v>100</v>
      </c>
      <c r="J182" s="63" t="s">
        <v>101</v>
      </c>
      <c r="K182" s="64" t="s">
        <v>102</v>
      </c>
      <c r="L182" s="64" t="s">
        <v>103</v>
      </c>
      <c r="M182" s="64" t="s">
        <v>104</v>
      </c>
      <c r="N182" s="63" t="s">
        <v>105</v>
      </c>
      <c r="O182" s="64" t="s">
        <v>106</v>
      </c>
      <c r="P182" s="65" t="s">
        <v>107</v>
      </c>
      <c r="Q182" s="66" t="s">
        <v>108</v>
      </c>
      <c r="R182" s="67" t="s">
        <v>14</v>
      </c>
      <c r="S182" s="68" t="s">
        <v>109</v>
      </c>
      <c r="T182" s="69" t="s">
        <v>110</v>
      </c>
      <c r="U182" s="70" t="s">
        <v>111</v>
      </c>
      <c r="V182" s="71"/>
      <c r="W182" s="72" t="s">
        <v>112</v>
      </c>
      <c r="X182" s="72" t="s">
        <v>113</v>
      </c>
      <c r="Y182" s="72" t="s">
        <v>114</v>
      </c>
      <c r="Z182" s="72" t="s">
        <v>115</v>
      </c>
      <c r="AA182" s="72" t="s">
        <v>115</v>
      </c>
      <c r="AB182" s="62" t="s">
        <v>116</v>
      </c>
      <c r="AC182" s="62" t="s">
        <v>117</v>
      </c>
      <c r="AD182" s="60" t="s">
        <v>4</v>
      </c>
      <c r="AE182" s="60" t="s">
        <v>21</v>
      </c>
      <c r="AF182" s="60" t="s">
        <v>22</v>
      </c>
      <c r="AG182" s="60" t="s">
        <v>118</v>
      </c>
      <c r="AH182" s="60" t="s">
        <v>119</v>
      </c>
      <c r="AI182" s="60" t="s">
        <v>25</v>
      </c>
    </row>
    <row r="183" customFormat="false" ht="21.75" hidden="false" customHeight="true" outlineLevel="0" collapsed="false">
      <c r="B183" s="61"/>
      <c r="C183" s="61"/>
      <c r="D183" s="61"/>
      <c r="E183" s="61"/>
      <c r="F183" s="61"/>
      <c r="G183" s="62"/>
      <c r="H183" s="62"/>
      <c r="I183" s="62"/>
      <c r="J183" s="62"/>
      <c r="K183" s="64" t="s">
        <v>120</v>
      </c>
      <c r="L183" s="64" t="s">
        <v>121</v>
      </c>
      <c r="M183" s="73" t="s">
        <v>122</v>
      </c>
      <c r="N183" s="74" t="s">
        <v>123</v>
      </c>
      <c r="O183" s="74" t="s">
        <v>124</v>
      </c>
      <c r="P183" s="65"/>
      <c r="Q183" s="75" t="s">
        <v>125</v>
      </c>
      <c r="R183" s="76" t="s">
        <v>126</v>
      </c>
      <c r="S183" s="68"/>
      <c r="T183" s="69"/>
      <c r="U183" s="70"/>
      <c r="V183" s="77"/>
      <c r="W183" s="78" t="s">
        <v>127</v>
      </c>
      <c r="X183" s="78" t="s">
        <v>127</v>
      </c>
      <c r="Y183" s="78" t="s">
        <v>127</v>
      </c>
      <c r="Z183" s="78" t="s">
        <v>127</v>
      </c>
      <c r="AA183" s="78" t="s">
        <v>127</v>
      </c>
      <c r="AB183" s="78"/>
      <c r="AC183" s="62"/>
      <c r="AD183" s="62"/>
      <c r="AE183" s="62"/>
      <c r="AF183" s="62"/>
      <c r="AG183" s="62"/>
      <c r="AH183" s="60"/>
      <c r="AI183" s="60"/>
    </row>
    <row r="184" customFormat="false" ht="21.75" hidden="false" customHeight="true" outlineLevel="0" collapsed="false">
      <c r="B184" s="61"/>
      <c r="C184" s="61"/>
      <c r="D184" s="61"/>
      <c r="E184" s="61"/>
      <c r="F184" s="61"/>
      <c r="G184" s="79" t="n">
        <v>0.18</v>
      </c>
      <c r="H184" s="62"/>
      <c r="I184" s="62"/>
      <c r="J184" s="62"/>
      <c r="K184" s="80" t="n">
        <v>0.1</v>
      </c>
      <c r="L184" s="74" t="n">
        <v>80</v>
      </c>
      <c r="M184" s="73"/>
      <c r="N184" s="73"/>
      <c r="O184" s="73"/>
      <c r="P184" s="65"/>
      <c r="Q184" s="75"/>
      <c r="R184" s="76"/>
      <c r="S184" s="68"/>
      <c r="T184" s="69"/>
      <c r="U184" s="70"/>
      <c r="V184" s="81"/>
      <c r="W184" s="79" t="n">
        <v>0</v>
      </c>
      <c r="X184" s="79" t="n">
        <v>0.1</v>
      </c>
      <c r="Y184" s="79" t="n">
        <v>0.15</v>
      </c>
      <c r="Z184" s="79" t="n">
        <v>0.2</v>
      </c>
      <c r="AA184" s="79" t="n">
        <v>0.2</v>
      </c>
      <c r="AB184" s="79"/>
      <c r="AC184" s="62"/>
      <c r="AD184" s="62"/>
      <c r="AE184" s="62"/>
      <c r="AF184" s="62"/>
      <c r="AG184" s="62"/>
      <c r="AH184" s="60"/>
      <c r="AI184" s="60"/>
    </row>
    <row r="185" customFormat="false" ht="21.75" hidden="false" customHeight="true" outlineLevel="0" collapsed="false">
      <c r="B185" s="104" t="s">
        <v>79</v>
      </c>
      <c r="C185" s="83" t="s">
        <v>80</v>
      </c>
      <c r="D185" s="83" t="s">
        <v>129</v>
      </c>
      <c r="E185" s="84" t="n">
        <v>50</v>
      </c>
      <c r="F185" s="125" t="s">
        <v>146</v>
      </c>
      <c r="G185" s="125"/>
      <c r="H185" s="84" t="n">
        <f aca="false">SUM(E185:G185)</f>
        <v>50</v>
      </c>
      <c r="I185" s="86" t="n">
        <f aca="false">H185*200</f>
        <v>10000</v>
      </c>
      <c r="J185" s="87" t="n">
        <v>5</v>
      </c>
      <c r="K185" s="88" t="n">
        <f aca="false">I185/1000*J185*(1+$K$8)</f>
        <v>55</v>
      </c>
      <c r="L185" s="89" t="n">
        <v>3</v>
      </c>
      <c r="M185" s="88" t="n">
        <f aca="false">$L$8*L185</f>
        <v>240</v>
      </c>
      <c r="N185" s="88" t="n">
        <f aca="false">SUM(K185:M185)*0.1</f>
        <v>29.8</v>
      </c>
      <c r="O185" s="90" t="n">
        <f aca="false">SUM(K185+M185+N185)</f>
        <v>324.8</v>
      </c>
      <c r="P185" s="91" t="n">
        <v>1000</v>
      </c>
      <c r="Q185" s="92" t="n">
        <v>1000</v>
      </c>
      <c r="R185" s="93" t="n">
        <f aca="false">(Q185-O185)/Q185</f>
        <v>0.6752</v>
      </c>
      <c r="S185" s="102" t="n">
        <f aca="false">Q185/J185*1000</f>
        <v>200000</v>
      </c>
      <c r="T185" s="136" t="n">
        <f aca="false">AVERAGE(S185:S186)</f>
        <v>165000</v>
      </c>
      <c r="U185" s="96" t="n">
        <v>200000</v>
      </c>
      <c r="V185" s="97"/>
      <c r="W185" s="98" t="n">
        <f aca="false">S185*(1-$W$8)</f>
        <v>200000</v>
      </c>
      <c r="X185" s="98" t="n">
        <f aca="false">S185*(1-$X$8)</f>
        <v>180000</v>
      </c>
      <c r="Y185" s="98" t="n">
        <f aca="false">S185*(1-$Y$8)</f>
        <v>170000</v>
      </c>
      <c r="Z185" s="98" t="n">
        <f aca="false">S185*(1-$Z$8)</f>
        <v>160000</v>
      </c>
      <c r="AA185" s="98" t="n">
        <f aca="false">Q185*(1-$AA$8)</f>
        <v>800</v>
      </c>
      <c r="AB185" s="93" t="n">
        <f aca="false">(AA185-O185)/AA185</f>
        <v>0.594</v>
      </c>
      <c r="AC185" s="104" t="s">
        <v>132</v>
      </c>
      <c r="AD185" s="101" t="n">
        <v>550</v>
      </c>
      <c r="AE185" s="101" t="n">
        <v>300</v>
      </c>
      <c r="AF185" s="101" t="n">
        <v>150</v>
      </c>
      <c r="AG185" s="101" t="n">
        <v>50</v>
      </c>
      <c r="AH185" s="101" t="n">
        <v>100</v>
      </c>
      <c r="AI185" s="101" t="n">
        <v>200</v>
      </c>
    </row>
    <row r="186" customFormat="false" ht="21.75" hidden="false" customHeight="true" outlineLevel="0" collapsed="false">
      <c r="B186" s="104"/>
      <c r="C186" s="83"/>
      <c r="D186" s="83"/>
      <c r="E186" s="83"/>
      <c r="F186" s="125"/>
      <c r="G186" s="125"/>
      <c r="H186" s="84"/>
      <c r="I186" s="84"/>
      <c r="J186" s="87" t="n">
        <v>10</v>
      </c>
      <c r="K186" s="88" t="n">
        <f aca="false">I185/1000*J186*(1+$K$8)</f>
        <v>110</v>
      </c>
      <c r="L186" s="89" t="n">
        <v>3</v>
      </c>
      <c r="M186" s="88" t="n">
        <f aca="false">$L$8*L186</f>
        <v>240</v>
      </c>
      <c r="N186" s="88" t="n">
        <f aca="false">SUM(K186:M186)*0.1</f>
        <v>35.3</v>
      </c>
      <c r="O186" s="90" t="n">
        <f aca="false">SUM(K186+M186+N186)</f>
        <v>385.3</v>
      </c>
      <c r="P186" s="91" t="n">
        <v>1000</v>
      </c>
      <c r="Q186" s="92" t="n">
        <v>1300</v>
      </c>
      <c r="R186" s="93" t="n">
        <f aca="false">(Q186-O186)/Q186</f>
        <v>0.703615384615385</v>
      </c>
      <c r="S186" s="102" t="n">
        <f aca="false">Q186/J186*1000</f>
        <v>130000</v>
      </c>
      <c r="T186" s="136"/>
      <c r="U186" s="96"/>
      <c r="V186" s="106"/>
      <c r="W186" s="98" t="n">
        <f aca="false">S186*(1-$W$8)</f>
        <v>130000</v>
      </c>
      <c r="X186" s="98" t="n">
        <f aca="false">S186*(1-$X$8)</f>
        <v>117000</v>
      </c>
      <c r="Y186" s="98" t="n">
        <f aca="false">S186*(1-$Y$8)</f>
        <v>110500</v>
      </c>
      <c r="Z186" s="98" t="n">
        <f aca="false">S186*(1-$Z$8)</f>
        <v>104000</v>
      </c>
      <c r="AA186" s="98" t="n">
        <f aca="false">Q186*(1-$AA$8)</f>
        <v>1040</v>
      </c>
      <c r="AB186" s="93" t="n">
        <f aca="false">(AA186-O186)/AA186</f>
        <v>0.629519230769231</v>
      </c>
      <c r="AC186" s="104" t="s">
        <v>132</v>
      </c>
      <c r="AD186" s="101" t="n">
        <v>600</v>
      </c>
      <c r="AE186" s="101" t="n">
        <v>300</v>
      </c>
      <c r="AF186" s="101" t="n">
        <v>150</v>
      </c>
      <c r="AG186" s="101" t="n">
        <v>50</v>
      </c>
      <c r="AH186" s="101" t="n">
        <v>100</v>
      </c>
      <c r="AI186" s="101" t="n">
        <v>200</v>
      </c>
    </row>
    <row r="187" customFormat="false" ht="21.75" hidden="false" customHeight="true" outlineLevel="0" collapsed="false">
      <c r="B187" s="104"/>
      <c r="C187" s="108" t="s">
        <v>166</v>
      </c>
      <c r="D187" s="83" t="s">
        <v>129</v>
      </c>
      <c r="E187" s="84" t="n">
        <v>94.5</v>
      </c>
      <c r="F187" s="84" t="n">
        <v>50</v>
      </c>
      <c r="G187" s="84" t="n">
        <f aca="false">E187*$G$8</f>
        <v>17.01</v>
      </c>
      <c r="H187" s="84" t="n">
        <f aca="false">SUM(E187:G187)</f>
        <v>161.51</v>
      </c>
      <c r="I187" s="86" t="n">
        <f aca="false">H187*200</f>
        <v>32302</v>
      </c>
      <c r="J187" s="87" t="n">
        <v>5</v>
      </c>
      <c r="K187" s="88" t="n">
        <f aca="false">I187/1000*J187*(1+$K$8)</f>
        <v>177.661</v>
      </c>
      <c r="L187" s="89" t="n">
        <v>3</v>
      </c>
      <c r="M187" s="88" t="n">
        <f aca="false">$L$8*L187</f>
        <v>240</v>
      </c>
      <c r="N187" s="88" t="n">
        <f aca="false">SUM(K187:M187)*0.1</f>
        <v>42.0661</v>
      </c>
      <c r="O187" s="90" t="n">
        <f aca="false">SUM(K187+M187+N187)</f>
        <v>459.7271</v>
      </c>
      <c r="P187" s="91" t="n">
        <v>1000</v>
      </c>
      <c r="Q187" s="92" t="n">
        <v>1100</v>
      </c>
      <c r="R187" s="93" t="n">
        <f aca="false">(Q187-O187)/Q187</f>
        <v>0.582066272727273</v>
      </c>
      <c r="S187" s="102" t="n">
        <f aca="false">Q187/J187*1000</f>
        <v>220000</v>
      </c>
      <c r="T187" s="136" t="n">
        <f aca="false">AVERAGE(S187:S188)</f>
        <v>180000</v>
      </c>
      <c r="U187" s="96" t="n">
        <v>200000</v>
      </c>
      <c r="V187" s="97"/>
      <c r="W187" s="98" t="n">
        <f aca="false">S187*(1-$W$8)</f>
        <v>220000</v>
      </c>
      <c r="X187" s="98" t="n">
        <f aca="false">S187*(1-$X$8)</f>
        <v>198000</v>
      </c>
      <c r="Y187" s="98" t="n">
        <f aca="false">S187*(1-$Y$8)</f>
        <v>187000</v>
      </c>
      <c r="Z187" s="98" t="n">
        <f aca="false">S187*(1-$Z$8)</f>
        <v>176000</v>
      </c>
      <c r="AA187" s="98" t="n">
        <f aca="false">Q187*(1-$AA$8)</f>
        <v>880</v>
      </c>
      <c r="AB187" s="93" t="n">
        <f aca="false">(AA187-O187)/AA187</f>
        <v>0.477582840909091</v>
      </c>
      <c r="AC187" s="104" t="s">
        <v>132</v>
      </c>
      <c r="AD187" s="101" t="n">
        <v>550</v>
      </c>
      <c r="AE187" s="101" t="n">
        <v>300</v>
      </c>
      <c r="AF187" s="101" t="n">
        <v>150</v>
      </c>
      <c r="AG187" s="101" t="n">
        <v>50</v>
      </c>
      <c r="AH187" s="101" t="n">
        <v>100</v>
      </c>
      <c r="AI187" s="101" t="n">
        <v>200</v>
      </c>
    </row>
    <row r="188" customFormat="false" ht="21.75" hidden="false" customHeight="true" outlineLevel="0" collapsed="false">
      <c r="B188" s="104"/>
      <c r="C188" s="104"/>
      <c r="D188" s="104"/>
      <c r="E188" s="104"/>
      <c r="F188" s="104"/>
      <c r="G188" s="104"/>
      <c r="H188" s="104"/>
      <c r="I188" s="104"/>
      <c r="J188" s="87" t="n">
        <v>10</v>
      </c>
      <c r="K188" s="88" t="n">
        <f aca="false">I187/1000*J188*(1+$K$8)</f>
        <v>355.322</v>
      </c>
      <c r="L188" s="89" t="n">
        <v>3</v>
      </c>
      <c r="M188" s="88" t="n">
        <f aca="false">$L$8*L188</f>
        <v>240</v>
      </c>
      <c r="N188" s="88" t="n">
        <f aca="false">SUM(K188:M188)*0.1</f>
        <v>59.8322</v>
      </c>
      <c r="O188" s="90" t="n">
        <f aca="false">SUM(K188+M188+N188)</f>
        <v>655.1542</v>
      </c>
      <c r="P188" s="91" t="n">
        <v>1000</v>
      </c>
      <c r="Q188" s="92" t="n">
        <v>1400</v>
      </c>
      <c r="R188" s="93" t="n">
        <f aca="false">(Q188-O188)/Q188</f>
        <v>0.532032714285714</v>
      </c>
      <c r="S188" s="102" t="n">
        <f aca="false">Q188/J188*1000</f>
        <v>140000</v>
      </c>
      <c r="T188" s="136"/>
      <c r="U188" s="96"/>
      <c r="V188" s="106"/>
      <c r="W188" s="98" t="n">
        <f aca="false">S188*(1-$W$8)</f>
        <v>140000</v>
      </c>
      <c r="X188" s="98" t="n">
        <f aca="false">S188*(1-$X$8)</f>
        <v>126000</v>
      </c>
      <c r="Y188" s="98" t="n">
        <f aca="false">S188*(1-$Y$8)</f>
        <v>119000</v>
      </c>
      <c r="Z188" s="98" t="n">
        <f aca="false">S188*(1-$Z$8)</f>
        <v>112000</v>
      </c>
      <c r="AA188" s="98" t="n">
        <f aca="false">Q188*(1-$AA$8)</f>
        <v>1120</v>
      </c>
      <c r="AB188" s="93" t="n">
        <f aca="false">(AA188-O188)/AA188</f>
        <v>0.415040892857143</v>
      </c>
      <c r="AC188" s="104" t="s">
        <v>132</v>
      </c>
      <c r="AD188" s="101" t="n">
        <v>600</v>
      </c>
      <c r="AE188" s="101" t="n">
        <v>300</v>
      </c>
      <c r="AF188" s="101" t="n">
        <v>150</v>
      </c>
      <c r="AG188" s="101" t="n">
        <v>50</v>
      </c>
      <c r="AH188" s="101" t="n">
        <v>100</v>
      </c>
      <c r="AI188" s="101" t="n">
        <v>200</v>
      </c>
    </row>
    <row r="189" customFormat="false" ht="21.75" hidden="false" customHeight="true" outlineLevel="0" collapsed="false">
      <c r="B189" s="104" t="s">
        <v>82</v>
      </c>
      <c r="C189" s="108" t="s">
        <v>167</v>
      </c>
      <c r="D189" s="83" t="s">
        <v>129</v>
      </c>
      <c r="E189" s="84" t="n">
        <v>34.5</v>
      </c>
      <c r="F189" s="84" t="n">
        <v>50</v>
      </c>
      <c r="G189" s="84" t="n">
        <f aca="false">E189*$G$8</f>
        <v>6.21</v>
      </c>
      <c r="H189" s="84" t="n">
        <f aca="false">SUM(E189:G189)</f>
        <v>90.71</v>
      </c>
      <c r="I189" s="86" t="n">
        <f aca="false">H189*200</f>
        <v>18142</v>
      </c>
      <c r="J189" s="87" t="n">
        <v>5</v>
      </c>
      <c r="K189" s="88" t="n">
        <f aca="false">I189/1000*J189*(1+$K$8)</f>
        <v>99.781</v>
      </c>
      <c r="L189" s="89" t="n">
        <v>3.5</v>
      </c>
      <c r="M189" s="88" t="n">
        <f aca="false">$L$8*L189</f>
        <v>280</v>
      </c>
      <c r="N189" s="88" t="n">
        <f aca="false">SUM(K189:M189)*0.1</f>
        <v>38.3281</v>
      </c>
      <c r="O189" s="90" t="n">
        <f aca="false">SUM(K189+M189+N189)</f>
        <v>418.1091</v>
      </c>
      <c r="P189" s="91" t="n">
        <v>1000</v>
      </c>
      <c r="Q189" s="92" t="n">
        <v>1200</v>
      </c>
      <c r="R189" s="93" t="n">
        <f aca="false">(Q189-O189)/Q189</f>
        <v>0.65157575</v>
      </c>
      <c r="S189" s="102" t="n">
        <f aca="false">Q189/J189*1000</f>
        <v>240000</v>
      </c>
      <c r="T189" s="136" t="n">
        <f aca="false">AVERAGE(S189:S192)</f>
        <v>172916.666666667</v>
      </c>
      <c r="U189" s="96" t="n">
        <v>80000</v>
      </c>
      <c r="V189" s="97"/>
      <c r="W189" s="98" t="n">
        <f aca="false">S189*(1-$W$8)</f>
        <v>240000</v>
      </c>
      <c r="X189" s="98" t="n">
        <f aca="false">S189*(1-$X$8)</f>
        <v>216000</v>
      </c>
      <c r="Y189" s="98" t="n">
        <f aca="false">S189*(1-$Y$8)</f>
        <v>204000</v>
      </c>
      <c r="Z189" s="98" t="n">
        <f aca="false">S189*(1-$Z$8)</f>
        <v>192000</v>
      </c>
      <c r="AA189" s="98" t="n">
        <f aca="false">Q189*(1-$AA$8)</f>
        <v>960</v>
      </c>
      <c r="AB189" s="93" t="n">
        <f aca="false">(AA189-O189)/AA189</f>
        <v>0.5644696875</v>
      </c>
      <c r="AC189" s="104" t="s">
        <v>132</v>
      </c>
      <c r="AD189" s="101" t="n">
        <v>200</v>
      </c>
      <c r="AE189" s="101" t="n">
        <v>300</v>
      </c>
      <c r="AF189" s="101" t="n">
        <v>150</v>
      </c>
      <c r="AG189" s="101" t="n">
        <v>50</v>
      </c>
      <c r="AH189" s="101" t="n">
        <v>100</v>
      </c>
      <c r="AI189" s="101" t="n">
        <v>200</v>
      </c>
    </row>
    <row r="190" customFormat="false" ht="21.75" hidden="false" customHeight="true" outlineLevel="0" collapsed="false">
      <c r="B190" s="104"/>
      <c r="C190" s="104"/>
      <c r="D190" s="104"/>
      <c r="E190" s="104"/>
      <c r="F190" s="104"/>
      <c r="G190" s="104"/>
      <c r="H190" s="104"/>
      <c r="I190" s="104"/>
      <c r="J190" s="87" t="n">
        <v>10</v>
      </c>
      <c r="K190" s="88" t="n">
        <f aca="false">I189/1000*J190*(1+$K$8)</f>
        <v>199.562</v>
      </c>
      <c r="L190" s="89" t="n">
        <v>3.5</v>
      </c>
      <c r="M190" s="88" t="n">
        <f aca="false">$L$8*L190</f>
        <v>280</v>
      </c>
      <c r="N190" s="88" t="n">
        <f aca="false">SUM(K190:M190)*0.1</f>
        <v>48.3062</v>
      </c>
      <c r="O190" s="90" t="n">
        <f aca="false">SUM(K190+M190+N190)</f>
        <v>527.8682</v>
      </c>
      <c r="P190" s="91" t="n">
        <v>1000</v>
      </c>
      <c r="Q190" s="92" t="n">
        <v>1700</v>
      </c>
      <c r="R190" s="93" t="n">
        <f aca="false">(Q190-O190)/Q190</f>
        <v>0.689489294117647</v>
      </c>
      <c r="S190" s="102" t="n">
        <f aca="false">Q190/J190*1000</f>
        <v>170000</v>
      </c>
      <c r="T190" s="136"/>
      <c r="U190" s="96"/>
      <c r="V190" s="103"/>
      <c r="W190" s="98" t="n">
        <f aca="false">S190*(1-$W$8)</f>
        <v>170000</v>
      </c>
      <c r="X190" s="98" t="n">
        <f aca="false">S190*(1-$X$8)</f>
        <v>153000</v>
      </c>
      <c r="Y190" s="98" t="n">
        <f aca="false">S190*(1-$Y$8)</f>
        <v>144500</v>
      </c>
      <c r="Z190" s="98" t="n">
        <f aca="false">S190*(1-$Z$8)</f>
        <v>136000</v>
      </c>
      <c r="AA190" s="98" t="n">
        <f aca="false">Q190*(1-$AA$8)</f>
        <v>1360</v>
      </c>
      <c r="AB190" s="93" t="n">
        <f aca="false">(AA190-O190)/AA190</f>
        <v>0.611861617647059</v>
      </c>
      <c r="AC190" s="104" t="s">
        <v>132</v>
      </c>
      <c r="AD190" s="101" t="n">
        <v>200</v>
      </c>
      <c r="AE190" s="101" t="n">
        <v>300</v>
      </c>
      <c r="AF190" s="101" t="n">
        <v>150</v>
      </c>
      <c r="AG190" s="101" t="n">
        <v>50</v>
      </c>
      <c r="AH190" s="101" t="n">
        <v>100</v>
      </c>
      <c r="AI190" s="101" t="n">
        <v>200</v>
      </c>
    </row>
    <row r="191" customFormat="false" ht="21.75" hidden="false" customHeight="true" outlineLevel="0" collapsed="false">
      <c r="B191" s="104"/>
      <c r="C191" s="104"/>
      <c r="D191" s="104"/>
      <c r="E191" s="104"/>
      <c r="F191" s="104"/>
      <c r="G191" s="104"/>
      <c r="H191" s="104"/>
      <c r="I191" s="104"/>
      <c r="J191" s="87" t="n">
        <v>15</v>
      </c>
      <c r="K191" s="88" t="n">
        <f aca="false">I189/1000*J191*(1+$K$8)</f>
        <v>299.343</v>
      </c>
      <c r="L191" s="89" t="n">
        <v>3.5</v>
      </c>
      <c r="M191" s="88" t="n">
        <f aca="false">$L$8*L191</f>
        <v>280</v>
      </c>
      <c r="N191" s="88" t="n">
        <f aca="false">SUM(K191:M191)*0.1</f>
        <v>58.2843</v>
      </c>
      <c r="O191" s="90" t="n">
        <f aca="false">SUM(K191+M191+N191)</f>
        <v>637.6273</v>
      </c>
      <c r="P191" s="91" t="n">
        <v>1000</v>
      </c>
      <c r="Q191" s="92" t="n">
        <v>2200</v>
      </c>
      <c r="R191" s="93" t="n">
        <f aca="false">(Q191-O191)/Q191</f>
        <v>0.710169409090909</v>
      </c>
      <c r="S191" s="102" t="n">
        <f aca="false">Q191/J191*1000</f>
        <v>146666.666666667</v>
      </c>
      <c r="T191" s="136"/>
      <c r="U191" s="96"/>
      <c r="V191" s="103"/>
      <c r="W191" s="98" t="n">
        <f aca="false">S191*(1-$W$8)</f>
        <v>146666.666666667</v>
      </c>
      <c r="X191" s="98" t="n">
        <f aca="false">S191*(1-$X$8)</f>
        <v>132000</v>
      </c>
      <c r="Y191" s="98" t="n">
        <f aca="false">S191*(1-$Y$8)</f>
        <v>124666.666666667</v>
      </c>
      <c r="Z191" s="98" t="n">
        <f aca="false">S191*(1-$Z$8)</f>
        <v>117333.333333333</v>
      </c>
      <c r="AA191" s="98" t="n">
        <f aca="false">Q191*(1-$AA$8)</f>
        <v>1760</v>
      </c>
      <c r="AB191" s="93" t="n">
        <f aca="false">(AA191-O191)/AA191</f>
        <v>0.637711761363636</v>
      </c>
      <c r="AC191" s="104" t="s">
        <v>132</v>
      </c>
      <c r="AD191" s="101" t="n">
        <v>200</v>
      </c>
      <c r="AE191" s="101" t="n">
        <v>300</v>
      </c>
      <c r="AF191" s="101" t="n">
        <v>150</v>
      </c>
      <c r="AG191" s="101" t="n">
        <v>50</v>
      </c>
      <c r="AH191" s="101" t="n">
        <v>100</v>
      </c>
      <c r="AI191" s="101" t="n">
        <v>200</v>
      </c>
    </row>
    <row r="192" customFormat="false" ht="21.75" hidden="false" customHeight="true" outlineLevel="0" collapsed="false">
      <c r="B192" s="104"/>
      <c r="C192" s="108"/>
      <c r="D192" s="108"/>
      <c r="E192" s="108"/>
      <c r="F192" s="108"/>
      <c r="G192" s="108"/>
      <c r="H192" s="108"/>
      <c r="I192" s="108"/>
      <c r="J192" s="87" t="n">
        <v>20</v>
      </c>
      <c r="K192" s="88" t="n">
        <f aca="false">I189/1000*J192*(1+$K$8)</f>
        <v>399.124</v>
      </c>
      <c r="L192" s="89" t="n">
        <v>3.5</v>
      </c>
      <c r="M192" s="88" t="n">
        <f aca="false">$L$8*L192</f>
        <v>280</v>
      </c>
      <c r="N192" s="88" t="n">
        <f aca="false">SUM(K192:M192)*0.1</f>
        <v>68.2624</v>
      </c>
      <c r="O192" s="90" t="n">
        <f aca="false">SUM(K192+M192+N192)</f>
        <v>747.3864</v>
      </c>
      <c r="P192" s="91" t="n">
        <v>1000</v>
      </c>
      <c r="Q192" s="92" t="n">
        <v>2700</v>
      </c>
      <c r="R192" s="93" t="n">
        <f aca="false">(Q192-O192)/Q192</f>
        <v>0.723190222222222</v>
      </c>
      <c r="S192" s="102" t="n">
        <f aca="false">Q192/J192*1000</f>
        <v>135000</v>
      </c>
      <c r="T192" s="136"/>
      <c r="U192" s="96"/>
      <c r="V192" s="106"/>
      <c r="W192" s="98" t="n">
        <f aca="false">S192*(1-$W$8)</f>
        <v>135000</v>
      </c>
      <c r="X192" s="98" t="n">
        <f aca="false">S192*(1-$X$8)</f>
        <v>121500</v>
      </c>
      <c r="Y192" s="98" t="n">
        <f aca="false">S192*(1-$Y$8)</f>
        <v>114750</v>
      </c>
      <c r="Z192" s="98" t="n">
        <f aca="false">S192*(1-$Z$8)</f>
        <v>108000</v>
      </c>
      <c r="AA192" s="98" t="n">
        <f aca="false">Q192*(1-$AA$8)</f>
        <v>2160</v>
      </c>
      <c r="AB192" s="93" t="n">
        <f aca="false">(AA192-O192)/AA192</f>
        <v>0.653987777777778</v>
      </c>
      <c r="AC192" s="104" t="s">
        <v>132</v>
      </c>
      <c r="AD192" s="101" t="n">
        <v>200</v>
      </c>
      <c r="AE192" s="101" t="n">
        <v>300</v>
      </c>
      <c r="AF192" s="101" t="n">
        <v>150</v>
      </c>
      <c r="AG192" s="101" t="n">
        <v>50</v>
      </c>
      <c r="AH192" s="101" t="n">
        <v>100</v>
      </c>
      <c r="AI192" s="101" t="n">
        <v>200</v>
      </c>
    </row>
    <row r="193" customFormat="false" ht="21.75" hidden="false" customHeight="true" outlineLevel="0" collapsed="false">
      <c r="B193" s="104"/>
      <c r="C193" s="108" t="s">
        <v>168</v>
      </c>
      <c r="D193" s="83" t="s">
        <v>129</v>
      </c>
      <c r="E193" s="84" t="n">
        <v>43</v>
      </c>
      <c r="F193" s="84" t="n">
        <v>50</v>
      </c>
      <c r="G193" s="84" t="n">
        <f aca="false">E193*$G$8</f>
        <v>7.74</v>
      </c>
      <c r="H193" s="84" t="n">
        <f aca="false">SUM(E193:G193)</f>
        <v>100.74</v>
      </c>
      <c r="I193" s="86" t="n">
        <f aca="false">H193*200</f>
        <v>20148</v>
      </c>
      <c r="J193" s="87" t="n">
        <v>5</v>
      </c>
      <c r="K193" s="88" t="n">
        <f aca="false">I193/1000*J193*(1+$K$8)</f>
        <v>110.814</v>
      </c>
      <c r="L193" s="89" t="n">
        <v>3.5</v>
      </c>
      <c r="M193" s="88" t="n">
        <f aca="false">$L$8*L193</f>
        <v>280</v>
      </c>
      <c r="N193" s="88" t="n">
        <f aca="false">SUM(K193:M193)*0.1</f>
        <v>39.4314</v>
      </c>
      <c r="O193" s="90" t="n">
        <f aca="false">SUM(K193+M193+N193)</f>
        <v>430.2454</v>
      </c>
      <c r="P193" s="91" t="n">
        <v>1000</v>
      </c>
      <c r="Q193" s="92" t="n">
        <v>1400</v>
      </c>
      <c r="R193" s="93" t="n">
        <f aca="false">(Q193-O193)/Q193</f>
        <v>0.692681857142857</v>
      </c>
      <c r="S193" s="102" t="n">
        <f aca="false">Q193/J193*1000</f>
        <v>280000</v>
      </c>
      <c r="T193" s="136" t="n">
        <f aca="false">AVERAGE(S193:S196)</f>
        <v>193750</v>
      </c>
      <c r="U193" s="96" t="n">
        <v>80000</v>
      </c>
      <c r="V193" s="97"/>
      <c r="W193" s="98" t="n">
        <f aca="false">S193*(1-$W$8)</f>
        <v>280000</v>
      </c>
      <c r="X193" s="98" t="n">
        <f aca="false">S193*(1-$X$8)</f>
        <v>252000</v>
      </c>
      <c r="Y193" s="98" t="n">
        <f aca="false">S193*(1-$Y$8)</f>
        <v>238000</v>
      </c>
      <c r="Z193" s="98" t="n">
        <f aca="false">S193*(1-$Z$8)</f>
        <v>224000</v>
      </c>
      <c r="AA193" s="98" t="n">
        <f aca="false">Q193*(1-$AA$8)</f>
        <v>1120</v>
      </c>
      <c r="AB193" s="93" t="n">
        <f aca="false">(AA193-O193)/AA193</f>
        <v>0.615852321428571</v>
      </c>
      <c r="AC193" s="104" t="s">
        <v>132</v>
      </c>
      <c r="AD193" s="101" t="n">
        <v>200</v>
      </c>
      <c r="AE193" s="101" t="n">
        <v>300</v>
      </c>
      <c r="AF193" s="101" t="n">
        <v>150</v>
      </c>
      <c r="AG193" s="101" t="n">
        <v>50</v>
      </c>
      <c r="AH193" s="101" t="n">
        <v>100</v>
      </c>
      <c r="AI193" s="101" t="n">
        <v>200</v>
      </c>
    </row>
    <row r="194" customFormat="false" ht="21.75" hidden="false" customHeight="true" outlineLevel="0" collapsed="false">
      <c r="B194" s="104"/>
      <c r="C194" s="104"/>
      <c r="D194" s="104"/>
      <c r="E194" s="104"/>
      <c r="F194" s="104"/>
      <c r="G194" s="104"/>
      <c r="H194" s="104"/>
      <c r="I194" s="104"/>
      <c r="J194" s="87" t="n">
        <v>10</v>
      </c>
      <c r="K194" s="88" t="n">
        <f aca="false">I193/1000*J194*(1+$K$8)</f>
        <v>221.628</v>
      </c>
      <c r="L194" s="89" t="n">
        <v>3.5</v>
      </c>
      <c r="M194" s="88" t="n">
        <f aca="false">$L$8*L194</f>
        <v>280</v>
      </c>
      <c r="N194" s="88" t="n">
        <f aca="false">SUM(K194:M194)*0.1</f>
        <v>50.5128</v>
      </c>
      <c r="O194" s="90" t="n">
        <f aca="false">SUM(K194+M194+N194)</f>
        <v>552.1408</v>
      </c>
      <c r="P194" s="91" t="n">
        <v>1000</v>
      </c>
      <c r="Q194" s="92" t="n">
        <v>1900</v>
      </c>
      <c r="R194" s="93" t="n">
        <f aca="false">(Q194-O194)/Q194</f>
        <v>0.709399578947368</v>
      </c>
      <c r="S194" s="102" t="n">
        <f aca="false">Q194/J194*1000</f>
        <v>190000</v>
      </c>
      <c r="T194" s="136"/>
      <c r="U194" s="96"/>
      <c r="V194" s="103"/>
      <c r="W194" s="98" t="n">
        <f aca="false">S194*(1-$W$8)</f>
        <v>190000</v>
      </c>
      <c r="X194" s="98" t="n">
        <f aca="false">S194*(1-$X$8)</f>
        <v>171000</v>
      </c>
      <c r="Y194" s="98" t="n">
        <f aca="false">S194*(1-$Y$8)</f>
        <v>161500</v>
      </c>
      <c r="Z194" s="98" t="n">
        <f aca="false">S194*(1-$Z$8)</f>
        <v>152000</v>
      </c>
      <c r="AA194" s="98" t="n">
        <f aca="false">Q194*(1-$AA$8)</f>
        <v>1520</v>
      </c>
      <c r="AB194" s="93" t="n">
        <f aca="false">(AA194-O194)/AA194</f>
        <v>0.636749473684211</v>
      </c>
      <c r="AC194" s="104" t="s">
        <v>132</v>
      </c>
      <c r="AD194" s="101" t="n">
        <v>200</v>
      </c>
      <c r="AE194" s="101" t="n">
        <v>300</v>
      </c>
      <c r="AF194" s="101" t="n">
        <v>150</v>
      </c>
      <c r="AG194" s="101" t="n">
        <v>50</v>
      </c>
      <c r="AH194" s="101" t="n">
        <v>100</v>
      </c>
      <c r="AI194" s="101" t="n">
        <v>200</v>
      </c>
    </row>
    <row r="195" customFormat="false" ht="21.75" hidden="false" customHeight="true" outlineLevel="0" collapsed="false">
      <c r="B195" s="104"/>
      <c r="C195" s="104"/>
      <c r="D195" s="104"/>
      <c r="E195" s="104"/>
      <c r="F195" s="104"/>
      <c r="G195" s="104"/>
      <c r="H195" s="104"/>
      <c r="I195" s="104"/>
      <c r="J195" s="87" t="n">
        <v>15</v>
      </c>
      <c r="K195" s="88" t="n">
        <f aca="false">I193/1000*J195*(1+$K$8)</f>
        <v>332.442</v>
      </c>
      <c r="L195" s="89" t="n">
        <v>3.5</v>
      </c>
      <c r="M195" s="88" t="n">
        <f aca="false">$L$8*L195</f>
        <v>280</v>
      </c>
      <c r="N195" s="88" t="n">
        <f aca="false">SUM(K195:M195)*0.1</f>
        <v>61.5942</v>
      </c>
      <c r="O195" s="90" t="n">
        <f aca="false">SUM(K195+M195+N195)</f>
        <v>674.0362</v>
      </c>
      <c r="P195" s="91" t="n">
        <v>1000</v>
      </c>
      <c r="Q195" s="92" t="n">
        <v>2400</v>
      </c>
      <c r="R195" s="93" t="n">
        <f aca="false">(Q195-O195)/Q195</f>
        <v>0.719151583333333</v>
      </c>
      <c r="S195" s="102" t="n">
        <f aca="false">Q195/J195*1000</f>
        <v>160000</v>
      </c>
      <c r="T195" s="136"/>
      <c r="U195" s="96"/>
      <c r="V195" s="103"/>
      <c r="W195" s="98" t="n">
        <f aca="false">S195*(1-$W$8)</f>
        <v>160000</v>
      </c>
      <c r="X195" s="98" t="n">
        <f aca="false">S195*(1-$X$8)</f>
        <v>144000</v>
      </c>
      <c r="Y195" s="98" t="n">
        <f aca="false">S195*(1-$Y$8)</f>
        <v>136000</v>
      </c>
      <c r="Z195" s="98" t="n">
        <f aca="false">S195*(1-$Z$8)</f>
        <v>128000</v>
      </c>
      <c r="AA195" s="98" t="n">
        <f aca="false">Q195*(1-$AA$8)</f>
        <v>1920</v>
      </c>
      <c r="AB195" s="93" t="n">
        <f aca="false">(AA195-O195)/AA195</f>
        <v>0.648939479166667</v>
      </c>
      <c r="AC195" s="104" t="s">
        <v>132</v>
      </c>
      <c r="AD195" s="101" t="n">
        <v>200</v>
      </c>
      <c r="AE195" s="101" t="n">
        <v>300</v>
      </c>
      <c r="AF195" s="101" t="n">
        <v>150</v>
      </c>
      <c r="AG195" s="101" t="n">
        <v>50</v>
      </c>
      <c r="AH195" s="101" t="n">
        <v>100</v>
      </c>
      <c r="AI195" s="101" t="n">
        <v>200</v>
      </c>
    </row>
    <row r="196" customFormat="false" ht="21.75" hidden="false" customHeight="true" outlineLevel="0" collapsed="false">
      <c r="B196" s="104"/>
      <c r="C196" s="108"/>
      <c r="D196" s="108"/>
      <c r="E196" s="108"/>
      <c r="F196" s="108"/>
      <c r="G196" s="108"/>
      <c r="H196" s="108"/>
      <c r="I196" s="108"/>
      <c r="J196" s="87" t="n">
        <v>20</v>
      </c>
      <c r="K196" s="88" t="n">
        <f aca="false">I193/1000*J196*(1+$K$8)</f>
        <v>443.256</v>
      </c>
      <c r="L196" s="89" t="n">
        <v>3.5</v>
      </c>
      <c r="M196" s="88" t="n">
        <f aca="false">$L$8*L196</f>
        <v>280</v>
      </c>
      <c r="N196" s="88" t="n">
        <f aca="false">SUM(K196:M196)*0.1</f>
        <v>72.6756</v>
      </c>
      <c r="O196" s="90" t="n">
        <f aca="false">SUM(K196+M196+N196)</f>
        <v>795.9316</v>
      </c>
      <c r="P196" s="91" t="n">
        <v>1000</v>
      </c>
      <c r="Q196" s="92" t="n">
        <v>2900</v>
      </c>
      <c r="R196" s="93" t="n">
        <f aca="false">(Q196-O196)/Q196</f>
        <v>0.725540827586207</v>
      </c>
      <c r="S196" s="102" t="n">
        <f aca="false">Q196/J196*1000</f>
        <v>145000</v>
      </c>
      <c r="T196" s="136"/>
      <c r="U196" s="96"/>
      <c r="V196" s="106"/>
      <c r="W196" s="98" t="n">
        <f aca="false">S196*(1-$W$8)</f>
        <v>145000</v>
      </c>
      <c r="X196" s="98" t="n">
        <f aca="false">S196*(1-$X$8)</f>
        <v>130500</v>
      </c>
      <c r="Y196" s="98" t="n">
        <f aca="false">S196*(1-$Y$8)</f>
        <v>123250</v>
      </c>
      <c r="Z196" s="98" t="n">
        <f aca="false">S196*(1-$Z$8)</f>
        <v>116000</v>
      </c>
      <c r="AA196" s="98" t="n">
        <f aca="false">Q196*(1-$AA$8)</f>
        <v>2320</v>
      </c>
      <c r="AB196" s="93" t="n">
        <f aca="false">(AA196-O196)/AA196</f>
        <v>0.656926034482759</v>
      </c>
      <c r="AC196" s="104" t="s">
        <v>132</v>
      </c>
      <c r="AD196" s="101" t="n">
        <v>200</v>
      </c>
      <c r="AE196" s="101" t="n">
        <v>300</v>
      </c>
      <c r="AF196" s="101" t="n">
        <v>150</v>
      </c>
      <c r="AG196" s="101" t="n">
        <v>50</v>
      </c>
      <c r="AH196" s="101" t="n">
        <v>100</v>
      </c>
      <c r="AI196" s="101" t="n">
        <v>200</v>
      </c>
    </row>
    <row r="197" customFormat="false" ht="21.75" hidden="false" customHeight="true" outlineLevel="0" collapsed="false">
      <c r="B197" s="104"/>
      <c r="C197" s="108" t="s">
        <v>169</v>
      </c>
      <c r="D197" s="83" t="s">
        <v>129</v>
      </c>
      <c r="E197" s="84" t="n">
        <v>22</v>
      </c>
      <c r="F197" s="84" t="n">
        <v>50</v>
      </c>
      <c r="G197" s="84" t="n">
        <f aca="false">E197*$G$8</f>
        <v>3.96</v>
      </c>
      <c r="H197" s="84" t="n">
        <f aca="false">SUM(E197:G197)</f>
        <v>75.96</v>
      </c>
      <c r="I197" s="86" t="n">
        <f aca="false">H197*200</f>
        <v>15192</v>
      </c>
      <c r="J197" s="87" t="n">
        <v>5</v>
      </c>
      <c r="K197" s="88" t="n">
        <f aca="false">I197/1000*J197*(1+$K$8)</f>
        <v>83.556</v>
      </c>
      <c r="L197" s="89" t="n">
        <v>3.5</v>
      </c>
      <c r="M197" s="88" t="n">
        <f aca="false">$L$8*L197</f>
        <v>280</v>
      </c>
      <c r="N197" s="88" t="n">
        <f aca="false">SUM(K197:M197)*0.1</f>
        <v>36.7056</v>
      </c>
      <c r="O197" s="90" t="n">
        <f aca="false">SUM(K197+M197+N197)</f>
        <v>400.2616</v>
      </c>
      <c r="P197" s="91" t="n">
        <v>1000</v>
      </c>
      <c r="Q197" s="92" t="n">
        <v>1400</v>
      </c>
      <c r="R197" s="93" t="n">
        <f aca="false">(Q197-O197)/Q197</f>
        <v>0.714098857142857</v>
      </c>
      <c r="S197" s="102" t="n">
        <f aca="false">Q197/J197*1000</f>
        <v>280000</v>
      </c>
      <c r="T197" s="136" t="n">
        <f aca="false">AVERAGE(S197:S200)</f>
        <v>193750</v>
      </c>
      <c r="U197" s="96" t="n">
        <v>80000</v>
      </c>
      <c r="V197" s="97"/>
      <c r="W197" s="98" t="n">
        <f aca="false">S197*(1-$W$8)</f>
        <v>280000</v>
      </c>
      <c r="X197" s="98" t="n">
        <f aca="false">S197*(1-$X$8)</f>
        <v>252000</v>
      </c>
      <c r="Y197" s="98" t="n">
        <f aca="false">S197*(1-$Y$8)</f>
        <v>238000</v>
      </c>
      <c r="Z197" s="98" t="n">
        <f aca="false">S197*(1-$Z$8)</f>
        <v>224000</v>
      </c>
      <c r="AA197" s="98" t="n">
        <f aca="false">Q197*(1-$AA$8)</f>
        <v>1120</v>
      </c>
      <c r="AB197" s="93" t="n">
        <f aca="false">(AA197-O197)/AA197</f>
        <v>0.642623571428571</v>
      </c>
      <c r="AC197" s="104" t="s">
        <v>132</v>
      </c>
      <c r="AD197" s="101" t="s">
        <v>131</v>
      </c>
      <c r="AE197" s="101" t="n">
        <v>300</v>
      </c>
      <c r="AF197" s="101" t="n">
        <v>150</v>
      </c>
      <c r="AG197" s="101" t="n">
        <v>50</v>
      </c>
      <c r="AH197" s="101" t="n">
        <v>100</v>
      </c>
      <c r="AI197" s="101" t="n">
        <v>200</v>
      </c>
    </row>
    <row r="198" customFormat="false" ht="21.75" hidden="false" customHeight="true" outlineLevel="0" collapsed="false">
      <c r="B198" s="104"/>
      <c r="C198" s="104"/>
      <c r="D198" s="104"/>
      <c r="E198" s="104"/>
      <c r="F198" s="104"/>
      <c r="G198" s="104"/>
      <c r="H198" s="104"/>
      <c r="I198" s="104"/>
      <c r="J198" s="87" t="n">
        <v>10</v>
      </c>
      <c r="K198" s="88" t="n">
        <f aca="false">I197/1000*J198*(1+$K$8)</f>
        <v>167.112</v>
      </c>
      <c r="L198" s="89" t="n">
        <v>3.5</v>
      </c>
      <c r="M198" s="88" t="n">
        <f aca="false">$L$8*L198</f>
        <v>280</v>
      </c>
      <c r="N198" s="88" t="n">
        <f aca="false">SUM(K198:M198)*0.1</f>
        <v>45.0612</v>
      </c>
      <c r="O198" s="90" t="n">
        <f aca="false">SUM(K198+M198+N198)</f>
        <v>492.1732</v>
      </c>
      <c r="P198" s="91" t="n">
        <v>1000</v>
      </c>
      <c r="Q198" s="92" t="n">
        <v>1900</v>
      </c>
      <c r="R198" s="93" t="n">
        <f aca="false">(Q198-O198)/Q198</f>
        <v>0.740961473684211</v>
      </c>
      <c r="S198" s="102" t="n">
        <f aca="false">Q198/J198*1000</f>
        <v>190000</v>
      </c>
      <c r="T198" s="136"/>
      <c r="U198" s="96"/>
      <c r="V198" s="103"/>
      <c r="W198" s="98" t="n">
        <f aca="false">S198*(1-$W$8)</f>
        <v>190000</v>
      </c>
      <c r="X198" s="98" t="n">
        <f aca="false">S198*(1-$X$8)</f>
        <v>171000</v>
      </c>
      <c r="Y198" s="98" t="n">
        <f aca="false">S198*(1-$Y$8)</f>
        <v>161500</v>
      </c>
      <c r="Z198" s="98" t="n">
        <f aca="false">S198*(1-$Z$8)</f>
        <v>152000</v>
      </c>
      <c r="AA198" s="98" t="n">
        <f aca="false">Q198*(1-$AA$8)</f>
        <v>1520</v>
      </c>
      <c r="AB198" s="93" t="n">
        <f aca="false">(AA198-O198)/AA198</f>
        <v>0.676201842105263</v>
      </c>
      <c r="AC198" s="104" t="s">
        <v>132</v>
      </c>
      <c r="AD198" s="101" t="s">
        <v>131</v>
      </c>
      <c r="AE198" s="101" t="n">
        <v>300</v>
      </c>
      <c r="AF198" s="101" t="n">
        <v>150</v>
      </c>
      <c r="AG198" s="101" t="n">
        <v>50</v>
      </c>
      <c r="AH198" s="101" t="n">
        <v>100</v>
      </c>
      <c r="AI198" s="101" t="n">
        <v>200</v>
      </c>
    </row>
    <row r="199" customFormat="false" ht="21.75" hidden="false" customHeight="true" outlineLevel="0" collapsed="false">
      <c r="B199" s="104"/>
      <c r="C199" s="104"/>
      <c r="D199" s="104"/>
      <c r="E199" s="104"/>
      <c r="F199" s="104"/>
      <c r="G199" s="104"/>
      <c r="H199" s="104"/>
      <c r="I199" s="104"/>
      <c r="J199" s="87" t="n">
        <v>15</v>
      </c>
      <c r="K199" s="88" t="n">
        <f aca="false">I197/1000*J199*(1+$K$8)</f>
        <v>250.668</v>
      </c>
      <c r="L199" s="89" t="n">
        <v>3.5</v>
      </c>
      <c r="M199" s="88" t="n">
        <f aca="false">$L$8*L199</f>
        <v>280</v>
      </c>
      <c r="N199" s="88" t="n">
        <f aca="false">SUM(K199:M199)*0.1</f>
        <v>53.4168</v>
      </c>
      <c r="O199" s="90" t="n">
        <f aca="false">SUM(K199+M199+N199)</f>
        <v>584.0848</v>
      </c>
      <c r="P199" s="91" t="n">
        <v>1000</v>
      </c>
      <c r="Q199" s="92" t="n">
        <v>2400</v>
      </c>
      <c r="R199" s="93" t="n">
        <f aca="false">(Q199-O199)/Q199</f>
        <v>0.756631333333333</v>
      </c>
      <c r="S199" s="102" t="n">
        <f aca="false">Q199/J199*1000</f>
        <v>160000</v>
      </c>
      <c r="T199" s="136"/>
      <c r="U199" s="96"/>
      <c r="V199" s="103"/>
      <c r="W199" s="98" t="n">
        <f aca="false">S199*(1-$W$8)</f>
        <v>160000</v>
      </c>
      <c r="X199" s="98" t="n">
        <f aca="false">S199*(1-$X$8)</f>
        <v>144000</v>
      </c>
      <c r="Y199" s="98" t="n">
        <f aca="false">S199*(1-$Y$8)</f>
        <v>136000</v>
      </c>
      <c r="Z199" s="98" t="n">
        <f aca="false">S199*(1-$Z$8)</f>
        <v>128000</v>
      </c>
      <c r="AA199" s="98" t="n">
        <f aca="false">Q199*(1-$AA$8)</f>
        <v>1920</v>
      </c>
      <c r="AB199" s="93" t="n">
        <f aca="false">(AA199-O199)/AA199</f>
        <v>0.695789166666667</v>
      </c>
      <c r="AC199" s="104" t="s">
        <v>132</v>
      </c>
      <c r="AD199" s="101" t="s">
        <v>131</v>
      </c>
      <c r="AE199" s="101" t="n">
        <v>300</v>
      </c>
      <c r="AF199" s="101" t="n">
        <v>150</v>
      </c>
      <c r="AG199" s="101" t="n">
        <v>50</v>
      </c>
      <c r="AH199" s="101" t="n">
        <v>100</v>
      </c>
      <c r="AI199" s="101" t="n">
        <v>200</v>
      </c>
    </row>
    <row r="200" customFormat="false" ht="21.75" hidden="false" customHeight="true" outlineLevel="0" collapsed="false">
      <c r="B200" s="104"/>
      <c r="C200" s="104"/>
      <c r="D200" s="104"/>
      <c r="E200" s="104"/>
      <c r="F200" s="104"/>
      <c r="G200" s="104"/>
      <c r="H200" s="104"/>
      <c r="I200" s="104"/>
      <c r="J200" s="87" t="n">
        <v>20</v>
      </c>
      <c r="K200" s="88" t="n">
        <f aca="false">I197/1000*J200*(1+$K$8)</f>
        <v>334.224</v>
      </c>
      <c r="L200" s="89" t="n">
        <v>3.5</v>
      </c>
      <c r="M200" s="88" t="n">
        <f aca="false">$L$8*L200</f>
        <v>280</v>
      </c>
      <c r="N200" s="88" t="n">
        <f aca="false">SUM(K200:M200)*0.1</f>
        <v>61.7724</v>
      </c>
      <c r="O200" s="90" t="n">
        <f aca="false">SUM(K200+M200+N200)</f>
        <v>675.9964</v>
      </c>
      <c r="P200" s="91" t="n">
        <v>1000</v>
      </c>
      <c r="Q200" s="143" t="n">
        <v>2900</v>
      </c>
      <c r="R200" s="144" t="n">
        <f aca="false">(Q200-O200)/Q200</f>
        <v>0.766897793103448</v>
      </c>
      <c r="S200" s="145" t="n">
        <f aca="false">Q200/J200*1000</f>
        <v>145000</v>
      </c>
      <c r="T200" s="136"/>
      <c r="U200" s="96"/>
      <c r="V200" s="106"/>
      <c r="W200" s="98" t="n">
        <f aca="false">S200*(1-$W$8)</f>
        <v>145000</v>
      </c>
      <c r="X200" s="98" t="n">
        <f aca="false">S200*(1-$X$8)</f>
        <v>130500</v>
      </c>
      <c r="Y200" s="98" t="n">
        <f aca="false">S200*(1-$Y$8)</f>
        <v>123250</v>
      </c>
      <c r="Z200" s="98" t="n">
        <f aca="false">S200*(1-$Z$8)</f>
        <v>116000</v>
      </c>
      <c r="AA200" s="98" t="n">
        <f aca="false">Q200*(1-$AA$8)</f>
        <v>2320</v>
      </c>
      <c r="AB200" s="93" t="n">
        <f aca="false">(AA200-O200)/AA200</f>
        <v>0.70862224137931</v>
      </c>
      <c r="AC200" s="104" t="s">
        <v>132</v>
      </c>
      <c r="AD200" s="101" t="s">
        <v>131</v>
      </c>
      <c r="AE200" s="101" t="n">
        <v>300</v>
      </c>
      <c r="AF200" s="101" t="n">
        <v>150</v>
      </c>
      <c r="AG200" s="101" t="n">
        <v>50</v>
      </c>
      <c r="AH200" s="101" t="n">
        <v>100</v>
      </c>
      <c r="AI200" s="101" t="n">
        <v>200</v>
      </c>
    </row>
    <row r="201" customFormat="false" ht="33" hidden="false" customHeight="true" outlineLevel="0" collapsed="false">
      <c r="Q201" s="146" t="s">
        <v>170</v>
      </c>
      <c r="R201" s="147" t="n">
        <f aca="false">AVERAGE(R9:R200)</f>
        <v>0.661793603160548</v>
      </c>
      <c r="AA201" s="146" t="s">
        <v>170</v>
      </c>
      <c r="AB201" s="147" t="n">
        <f aca="false">AVERAGE(AB9:AB200)</f>
        <v>0.577242003950685</v>
      </c>
    </row>
    <row r="202" customFormat="false" ht="33" hidden="false" customHeight="true" outlineLevel="0" collapsed="false"/>
    <row r="203" customFormat="false" ht="33" hidden="false" customHeight="true" outlineLevel="0" collapsed="false">
      <c r="G203" s="148"/>
      <c r="H203" s="148" t="s">
        <v>171</v>
      </c>
      <c r="I203" s="148" t="s">
        <v>172</v>
      </c>
      <c r="S203" s="149" t="s">
        <v>173</v>
      </c>
    </row>
    <row r="204" customFormat="false" ht="33" hidden="false" customHeight="true" outlineLevel="0" collapsed="false">
      <c r="E204" s="48" t="s">
        <v>172</v>
      </c>
      <c r="G204" s="150" t="s">
        <v>129</v>
      </c>
      <c r="H204" s="151" t="n">
        <v>100000</v>
      </c>
      <c r="I204" s="151" t="n">
        <v>40000</v>
      </c>
      <c r="S204" s="149" t="s">
        <v>174</v>
      </c>
    </row>
    <row r="205" customFormat="false" ht="33" hidden="false" customHeight="true" outlineLevel="0" collapsed="false">
      <c r="G205" s="150" t="s">
        <v>175</v>
      </c>
      <c r="H205" s="151" t="n">
        <v>80000</v>
      </c>
      <c r="I205" s="151" t="s">
        <v>131</v>
      </c>
    </row>
    <row r="206" customFormat="false" ht="33" hidden="false" customHeight="true" outlineLevel="0" collapsed="false">
      <c r="E206" s="48" t="n">
        <v>1</v>
      </c>
      <c r="G206" s="150" t="s">
        <v>176</v>
      </c>
      <c r="H206" s="151" t="n">
        <v>70000</v>
      </c>
      <c r="I206" s="151" t="n">
        <v>30000</v>
      </c>
    </row>
    <row r="207" customFormat="false" ht="33" hidden="false" customHeight="true" outlineLevel="0" collapsed="false"/>
    <row r="208" customFormat="false" ht="33" hidden="false" customHeight="true" outlineLevel="0" collapsed="false"/>
  </sheetData>
  <mergeCells count="561">
    <mergeCell ref="W5:Z5"/>
    <mergeCell ref="AD5:AI5"/>
    <mergeCell ref="B6:B8"/>
    <mergeCell ref="C6:C8"/>
    <mergeCell ref="D6:D8"/>
    <mergeCell ref="E6:E8"/>
    <mergeCell ref="F6:F8"/>
    <mergeCell ref="G6:G7"/>
    <mergeCell ref="H6:H8"/>
    <mergeCell ref="I6:I8"/>
    <mergeCell ref="J6:J8"/>
    <mergeCell ref="P6:P8"/>
    <mergeCell ref="S6:S8"/>
    <mergeCell ref="T6:T8"/>
    <mergeCell ref="U6:U8"/>
    <mergeCell ref="AC6:AC8"/>
    <mergeCell ref="AD6:AD8"/>
    <mergeCell ref="AE6:AE8"/>
    <mergeCell ref="AF6:AF8"/>
    <mergeCell ref="AG6:AG8"/>
    <mergeCell ref="AH6:AH8"/>
    <mergeCell ref="AI6:AI8"/>
    <mergeCell ref="M7:M8"/>
    <mergeCell ref="N7:N8"/>
    <mergeCell ref="O7:O8"/>
    <mergeCell ref="Q7:Q8"/>
    <mergeCell ref="R7:R8"/>
    <mergeCell ref="B9:B16"/>
    <mergeCell ref="C9:C12"/>
    <mergeCell ref="D9:D12"/>
    <mergeCell ref="E9:E12"/>
    <mergeCell ref="F9:F12"/>
    <mergeCell ref="G9:G12"/>
    <mergeCell ref="H9:H12"/>
    <mergeCell ref="I9:I12"/>
    <mergeCell ref="U9:U12"/>
    <mergeCell ref="C13:C16"/>
    <mergeCell ref="D13:D16"/>
    <mergeCell ref="E13:E16"/>
    <mergeCell ref="F13:F16"/>
    <mergeCell ref="G13:G16"/>
    <mergeCell ref="H13:H16"/>
    <mergeCell ref="I13:I16"/>
    <mergeCell ref="U13:U16"/>
    <mergeCell ref="B17:B20"/>
    <mergeCell ref="C17:C18"/>
    <mergeCell ref="D17:D18"/>
    <mergeCell ref="E17:E18"/>
    <mergeCell ref="F17:F18"/>
    <mergeCell ref="G17:G18"/>
    <mergeCell ref="H17:H18"/>
    <mergeCell ref="I17:I18"/>
    <mergeCell ref="U17:U18"/>
    <mergeCell ref="C19:C20"/>
    <mergeCell ref="D19:D20"/>
    <mergeCell ref="E19:E20"/>
    <mergeCell ref="F19:F20"/>
    <mergeCell ref="G19:G20"/>
    <mergeCell ref="H19:H20"/>
    <mergeCell ref="I19:I20"/>
    <mergeCell ref="U19:U20"/>
    <mergeCell ref="W30:Z30"/>
    <mergeCell ref="AD30:AI30"/>
    <mergeCell ref="B31:B33"/>
    <mergeCell ref="C31:C33"/>
    <mergeCell ref="D31:D33"/>
    <mergeCell ref="E31:E33"/>
    <mergeCell ref="F31:F33"/>
    <mergeCell ref="G31:G32"/>
    <mergeCell ref="H31:H33"/>
    <mergeCell ref="I31:I33"/>
    <mergeCell ref="J31:J33"/>
    <mergeCell ref="P31:P33"/>
    <mergeCell ref="S31:S33"/>
    <mergeCell ref="T31:T33"/>
    <mergeCell ref="U31:U33"/>
    <mergeCell ref="AC31:AC33"/>
    <mergeCell ref="AD31:AD33"/>
    <mergeCell ref="AE31:AE33"/>
    <mergeCell ref="AF31:AF33"/>
    <mergeCell ref="AG31:AG33"/>
    <mergeCell ref="AH31:AH33"/>
    <mergeCell ref="AI31:AI33"/>
    <mergeCell ref="M32:M33"/>
    <mergeCell ref="N32:N33"/>
    <mergeCell ref="O32:O33"/>
    <mergeCell ref="Q32:Q33"/>
    <mergeCell ref="R32:R33"/>
    <mergeCell ref="B34:B57"/>
    <mergeCell ref="C34:C36"/>
    <mergeCell ref="D34:D36"/>
    <mergeCell ref="E34:E36"/>
    <mergeCell ref="F34:F36"/>
    <mergeCell ref="G34:G36"/>
    <mergeCell ref="H34:H36"/>
    <mergeCell ref="I34:I36"/>
    <mergeCell ref="U34:U36"/>
    <mergeCell ref="C37:C39"/>
    <mergeCell ref="D37:D39"/>
    <mergeCell ref="E37:E39"/>
    <mergeCell ref="F37:F39"/>
    <mergeCell ref="G37:G39"/>
    <mergeCell ref="H37:H39"/>
    <mergeCell ref="I37:I39"/>
    <mergeCell ref="U37:U39"/>
    <mergeCell ref="C40:C42"/>
    <mergeCell ref="D40:D42"/>
    <mergeCell ref="E40:E42"/>
    <mergeCell ref="F40:F42"/>
    <mergeCell ref="G40:G42"/>
    <mergeCell ref="H40:H42"/>
    <mergeCell ref="I40:I42"/>
    <mergeCell ref="U40:U42"/>
    <mergeCell ref="C43:C45"/>
    <mergeCell ref="D43:D45"/>
    <mergeCell ref="E43:E45"/>
    <mergeCell ref="F43:F45"/>
    <mergeCell ref="G43:G45"/>
    <mergeCell ref="H43:H45"/>
    <mergeCell ref="I43:I45"/>
    <mergeCell ref="U43:U45"/>
    <mergeCell ref="C46:C48"/>
    <mergeCell ref="D46:D48"/>
    <mergeCell ref="E46:E48"/>
    <mergeCell ref="F46:F48"/>
    <mergeCell ref="G46:G48"/>
    <mergeCell ref="H46:H48"/>
    <mergeCell ref="I46:I48"/>
    <mergeCell ref="U46:U48"/>
    <mergeCell ref="C49:C51"/>
    <mergeCell ref="D49:D51"/>
    <mergeCell ref="E49:E51"/>
    <mergeCell ref="F49:F51"/>
    <mergeCell ref="G49:G51"/>
    <mergeCell ref="H49:H51"/>
    <mergeCell ref="I49:I51"/>
    <mergeCell ref="U49:U51"/>
    <mergeCell ref="C52:C54"/>
    <mergeCell ref="D52:D54"/>
    <mergeCell ref="E52:E54"/>
    <mergeCell ref="F52:F54"/>
    <mergeCell ref="G52:G54"/>
    <mergeCell ref="H52:H54"/>
    <mergeCell ref="I52:I54"/>
    <mergeCell ref="U52:U54"/>
    <mergeCell ref="C55:C57"/>
    <mergeCell ref="D55:D57"/>
    <mergeCell ref="E55:E57"/>
    <mergeCell ref="F55:F57"/>
    <mergeCell ref="G55:G57"/>
    <mergeCell ref="H55:H57"/>
    <mergeCell ref="I55:I57"/>
    <mergeCell ref="U55:U57"/>
    <mergeCell ref="W59:Z59"/>
    <mergeCell ref="AD59:AI59"/>
    <mergeCell ref="B60:B62"/>
    <mergeCell ref="C60:C62"/>
    <mergeCell ref="D60:D62"/>
    <mergeCell ref="E60:E62"/>
    <mergeCell ref="F60:F62"/>
    <mergeCell ref="G60:G61"/>
    <mergeCell ref="H60:H62"/>
    <mergeCell ref="I60:I62"/>
    <mergeCell ref="J60:J62"/>
    <mergeCell ref="P60:P62"/>
    <mergeCell ref="S60:S62"/>
    <mergeCell ref="T60:T62"/>
    <mergeCell ref="U60:U62"/>
    <mergeCell ref="AC60:AC62"/>
    <mergeCell ref="AD60:AD62"/>
    <mergeCell ref="AE60:AE62"/>
    <mergeCell ref="AF60:AF62"/>
    <mergeCell ref="AG60:AG62"/>
    <mergeCell ref="AH60:AH62"/>
    <mergeCell ref="AI60:AI62"/>
    <mergeCell ref="M61:M62"/>
    <mergeCell ref="N61:N62"/>
    <mergeCell ref="O61:O62"/>
    <mergeCell ref="Q61:Q62"/>
    <mergeCell ref="R61:R62"/>
    <mergeCell ref="B63:B74"/>
    <mergeCell ref="C63:C66"/>
    <mergeCell ref="D63:D66"/>
    <mergeCell ref="E63:E66"/>
    <mergeCell ref="F63:G66"/>
    <mergeCell ref="H63:H66"/>
    <mergeCell ref="I63:I66"/>
    <mergeCell ref="U63:U66"/>
    <mergeCell ref="C67:C70"/>
    <mergeCell ref="D67:D70"/>
    <mergeCell ref="E67:E70"/>
    <mergeCell ref="F67:F70"/>
    <mergeCell ref="G67:G70"/>
    <mergeCell ref="H67:H70"/>
    <mergeCell ref="I67:I70"/>
    <mergeCell ref="U67:U70"/>
    <mergeCell ref="C71:C74"/>
    <mergeCell ref="D71:D74"/>
    <mergeCell ref="E71:E74"/>
    <mergeCell ref="F71:G74"/>
    <mergeCell ref="H71:H74"/>
    <mergeCell ref="I71:I74"/>
    <mergeCell ref="U71:U74"/>
    <mergeCell ref="W83:Z83"/>
    <mergeCell ref="AD83:AI83"/>
    <mergeCell ref="B84:B86"/>
    <mergeCell ref="C84:C86"/>
    <mergeCell ref="D84:D86"/>
    <mergeCell ref="E84:E86"/>
    <mergeCell ref="F84:F86"/>
    <mergeCell ref="G84:G85"/>
    <mergeCell ref="H84:H86"/>
    <mergeCell ref="I84:I86"/>
    <mergeCell ref="J84:J86"/>
    <mergeCell ref="P84:P86"/>
    <mergeCell ref="S84:S86"/>
    <mergeCell ref="T84:T86"/>
    <mergeCell ref="U84:U86"/>
    <mergeCell ref="AC84:AC86"/>
    <mergeCell ref="AD84:AD86"/>
    <mergeCell ref="AE84:AE86"/>
    <mergeCell ref="AF84:AF86"/>
    <mergeCell ref="AG84:AG86"/>
    <mergeCell ref="AH84:AH86"/>
    <mergeCell ref="AI84:AI86"/>
    <mergeCell ref="M85:M86"/>
    <mergeCell ref="N85:N86"/>
    <mergeCell ref="O85:O86"/>
    <mergeCell ref="Q85:Q86"/>
    <mergeCell ref="R85:R86"/>
    <mergeCell ref="B87:B89"/>
    <mergeCell ref="C87:C89"/>
    <mergeCell ref="D87:D89"/>
    <mergeCell ref="E87:E89"/>
    <mergeCell ref="F87:G89"/>
    <mergeCell ref="H87:H89"/>
    <mergeCell ref="I87:I89"/>
    <mergeCell ref="U87:U89"/>
    <mergeCell ref="B90:B97"/>
    <mergeCell ref="C90:C92"/>
    <mergeCell ref="D90:D92"/>
    <mergeCell ref="E90:E92"/>
    <mergeCell ref="F90:G92"/>
    <mergeCell ref="H90:H92"/>
    <mergeCell ref="I90:I92"/>
    <mergeCell ref="U90:U92"/>
    <mergeCell ref="C93:C97"/>
    <mergeCell ref="D93:D97"/>
    <mergeCell ref="E93:E97"/>
    <mergeCell ref="F93:G97"/>
    <mergeCell ref="H93:H97"/>
    <mergeCell ref="I93:I97"/>
    <mergeCell ref="U93:U97"/>
    <mergeCell ref="B98:B102"/>
    <mergeCell ref="C98:C102"/>
    <mergeCell ref="D98:D102"/>
    <mergeCell ref="E98:E102"/>
    <mergeCell ref="F98:G102"/>
    <mergeCell ref="H98:H102"/>
    <mergeCell ref="I98:I102"/>
    <mergeCell ref="U98:U102"/>
    <mergeCell ref="W108:Z108"/>
    <mergeCell ref="AD108:AI108"/>
    <mergeCell ref="B109:B111"/>
    <mergeCell ref="C109:C111"/>
    <mergeCell ref="D109:D111"/>
    <mergeCell ref="E109:E111"/>
    <mergeCell ref="F109:F111"/>
    <mergeCell ref="G109:G110"/>
    <mergeCell ref="H109:H111"/>
    <mergeCell ref="I109:I111"/>
    <mergeCell ref="J109:J111"/>
    <mergeCell ref="P109:P111"/>
    <mergeCell ref="S109:S111"/>
    <mergeCell ref="T109:T111"/>
    <mergeCell ref="U109:U111"/>
    <mergeCell ref="AC109:AC111"/>
    <mergeCell ref="AD109:AD111"/>
    <mergeCell ref="AE109:AE111"/>
    <mergeCell ref="AF109:AF111"/>
    <mergeCell ref="AG109:AG111"/>
    <mergeCell ref="AH109:AH111"/>
    <mergeCell ref="AI109:AI111"/>
    <mergeCell ref="M110:M111"/>
    <mergeCell ref="N110:N111"/>
    <mergeCell ref="O110:O111"/>
    <mergeCell ref="Q110:Q111"/>
    <mergeCell ref="R110:R111"/>
    <mergeCell ref="B112:B115"/>
    <mergeCell ref="C112:C113"/>
    <mergeCell ref="D112:D113"/>
    <mergeCell ref="E112:E113"/>
    <mergeCell ref="F112:F113"/>
    <mergeCell ref="G112:G113"/>
    <mergeCell ref="H112:H113"/>
    <mergeCell ref="I112:I113"/>
    <mergeCell ref="U112:U113"/>
    <mergeCell ref="C114:C115"/>
    <mergeCell ref="D114:D115"/>
    <mergeCell ref="E114:E115"/>
    <mergeCell ref="F114:F115"/>
    <mergeCell ref="G114:G115"/>
    <mergeCell ref="H114:H115"/>
    <mergeCell ref="I114:I115"/>
    <mergeCell ref="U114:U115"/>
    <mergeCell ref="B116:B123"/>
    <mergeCell ref="C116:C117"/>
    <mergeCell ref="D116:D117"/>
    <mergeCell ref="E116:E117"/>
    <mergeCell ref="F116:F117"/>
    <mergeCell ref="G116:G117"/>
    <mergeCell ref="H116:H117"/>
    <mergeCell ref="I116:I117"/>
    <mergeCell ref="U116:U117"/>
    <mergeCell ref="C118:C119"/>
    <mergeCell ref="D118:D119"/>
    <mergeCell ref="E118:E119"/>
    <mergeCell ref="F118:F119"/>
    <mergeCell ref="G118:G119"/>
    <mergeCell ref="H118:H119"/>
    <mergeCell ref="I118:I119"/>
    <mergeCell ref="U118:U119"/>
    <mergeCell ref="C120:C121"/>
    <mergeCell ref="D120:D121"/>
    <mergeCell ref="E120:E121"/>
    <mergeCell ref="F120:F121"/>
    <mergeCell ref="G120:G121"/>
    <mergeCell ref="H120:H121"/>
    <mergeCell ref="I120:I121"/>
    <mergeCell ref="U120:U121"/>
    <mergeCell ref="C122:C123"/>
    <mergeCell ref="D122:D123"/>
    <mergeCell ref="E122:E123"/>
    <mergeCell ref="F122:F123"/>
    <mergeCell ref="G122:G123"/>
    <mergeCell ref="H122:H123"/>
    <mergeCell ref="I122:I123"/>
    <mergeCell ref="U122:U123"/>
    <mergeCell ref="B124:B131"/>
    <mergeCell ref="C124:C125"/>
    <mergeCell ref="D124:D125"/>
    <mergeCell ref="E124:E125"/>
    <mergeCell ref="F124:F125"/>
    <mergeCell ref="G124:G125"/>
    <mergeCell ref="H124:H125"/>
    <mergeCell ref="I124:I125"/>
    <mergeCell ref="U124:U125"/>
    <mergeCell ref="C126:C127"/>
    <mergeCell ref="D126:D127"/>
    <mergeCell ref="E126:E127"/>
    <mergeCell ref="F126:F127"/>
    <mergeCell ref="G126:G127"/>
    <mergeCell ref="H126:H127"/>
    <mergeCell ref="I126:I127"/>
    <mergeCell ref="U126:U127"/>
    <mergeCell ref="C128:C129"/>
    <mergeCell ref="D128:D129"/>
    <mergeCell ref="E128:E129"/>
    <mergeCell ref="F128:F129"/>
    <mergeCell ref="G128:G129"/>
    <mergeCell ref="H128:H129"/>
    <mergeCell ref="I128:I129"/>
    <mergeCell ref="U128:U129"/>
    <mergeCell ref="C130:C131"/>
    <mergeCell ref="D130:D131"/>
    <mergeCell ref="E130:E131"/>
    <mergeCell ref="F130:F131"/>
    <mergeCell ref="G130:G131"/>
    <mergeCell ref="H130:H131"/>
    <mergeCell ref="I130:I131"/>
    <mergeCell ref="U130:U131"/>
    <mergeCell ref="W133:Z133"/>
    <mergeCell ref="AD133:AI133"/>
    <mergeCell ref="B134:B136"/>
    <mergeCell ref="C134:C136"/>
    <mergeCell ref="D134:D136"/>
    <mergeCell ref="E134:E136"/>
    <mergeCell ref="F134:F136"/>
    <mergeCell ref="G134:G135"/>
    <mergeCell ref="H134:H136"/>
    <mergeCell ref="I134:I136"/>
    <mergeCell ref="J134:J136"/>
    <mergeCell ref="P134:P136"/>
    <mergeCell ref="S134:S136"/>
    <mergeCell ref="T134:T136"/>
    <mergeCell ref="U134:U136"/>
    <mergeCell ref="AC134:AC136"/>
    <mergeCell ref="AD134:AD136"/>
    <mergeCell ref="AE134:AE136"/>
    <mergeCell ref="AF134:AF136"/>
    <mergeCell ref="AG134:AG136"/>
    <mergeCell ref="AH134:AH136"/>
    <mergeCell ref="AI134:AI136"/>
    <mergeCell ref="M135:M136"/>
    <mergeCell ref="N135:N136"/>
    <mergeCell ref="O135:O136"/>
    <mergeCell ref="Q135:Q136"/>
    <mergeCell ref="R135:R136"/>
    <mergeCell ref="B137:B156"/>
    <mergeCell ref="C137:C141"/>
    <mergeCell ref="D137:D141"/>
    <mergeCell ref="E137:E141"/>
    <mergeCell ref="F137:F141"/>
    <mergeCell ref="G137:G141"/>
    <mergeCell ref="H137:H141"/>
    <mergeCell ref="I137:I141"/>
    <mergeCell ref="T137:T141"/>
    <mergeCell ref="U137:U141"/>
    <mergeCell ref="C142:C146"/>
    <mergeCell ref="D142:D146"/>
    <mergeCell ref="E142:E146"/>
    <mergeCell ref="F142:F146"/>
    <mergeCell ref="G142:G146"/>
    <mergeCell ref="H142:H146"/>
    <mergeCell ref="I142:I146"/>
    <mergeCell ref="T142:T146"/>
    <mergeCell ref="U142:U146"/>
    <mergeCell ref="C147:C151"/>
    <mergeCell ref="D147:D151"/>
    <mergeCell ref="E147:E151"/>
    <mergeCell ref="F147:F151"/>
    <mergeCell ref="G147:G151"/>
    <mergeCell ref="H147:H151"/>
    <mergeCell ref="I147:I151"/>
    <mergeCell ref="U147:U151"/>
    <mergeCell ref="C152:C156"/>
    <mergeCell ref="D152:D156"/>
    <mergeCell ref="E152:E156"/>
    <mergeCell ref="F152:F156"/>
    <mergeCell ref="G152:G156"/>
    <mergeCell ref="H152:H156"/>
    <mergeCell ref="I152:I156"/>
    <mergeCell ref="T152:T156"/>
    <mergeCell ref="U152:U156"/>
    <mergeCell ref="W159:Z159"/>
    <mergeCell ref="AD159:AI159"/>
    <mergeCell ref="B160:B162"/>
    <mergeCell ref="C160:C162"/>
    <mergeCell ref="D160:D162"/>
    <mergeCell ref="E160:E162"/>
    <mergeCell ref="F160:F162"/>
    <mergeCell ref="G160:G161"/>
    <mergeCell ref="H160:H162"/>
    <mergeCell ref="I160:I162"/>
    <mergeCell ref="J160:J162"/>
    <mergeCell ref="P160:P162"/>
    <mergeCell ref="S160:S162"/>
    <mergeCell ref="T160:T162"/>
    <mergeCell ref="U160:U162"/>
    <mergeCell ref="AC160:AC162"/>
    <mergeCell ref="AD160:AD162"/>
    <mergeCell ref="AE160:AE162"/>
    <mergeCell ref="AF160:AF162"/>
    <mergeCell ref="AG160:AG162"/>
    <mergeCell ref="AH160:AH162"/>
    <mergeCell ref="AI160:AI162"/>
    <mergeCell ref="M161:M162"/>
    <mergeCell ref="N161:N162"/>
    <mergeCell ref="O161:O162"/>
    <mergeCell ref="Q161:Q162"/>
    <mergeCell ref="R161:R162"/>
    <mergeCell ref="B163:B177"/>
    <mergeCell ref="C163:C167"/>
    <mergeCell ref="D163:D167"/>
    <mergeCell ref="E163:E167"/>
    <mergeCell ref="F163:F167"/>
    <mergeCell ref="G163:G167"/>
    <mergeCell ref="H163:H167"/>
    <mergeCell ref="I163:I167"/>
    <mergeCell ref="T163:T167"/>
    <mergeCell ref="U163:U167"/>
    <mergeCell ref="C168:C172"/>
    <mergeCell ref="D168:D172"/>
    <mergeCell ref="E168:E172"/>
    <mergeCell ref="F168:F172"/>
    <mergeCell ref="G168:G172"/>
    <mergeCell ref="H168:H172"/>
    <mergeCell ref="I168:I172"/>
    <mergeCell ref="T168:T172"/>
    <mergeCell ref="U168:U172"/>
    <mergeCell ref="C173:C177"/>
    <mergeCell ref="D173:D177"/>
    <mergeCell ref="E173:E177"/>
    <mergeCell ref="F173:F177"/>
    <mergeCell ref="G173:G177"/>
    <mergeCell ref="H173:H177"/>
    <mergeCell ref="I173:I177"/>
    <mergeCell ref="U173:U177"/>
    <mergeCell ref="W181:Z181"/>
    <mergeCell ref="AD181:AI181"/>
    <mergeCell ref="B182:B184"/>
    <mergeCell ref="C182:C184"/>
    <mergeCell ref="D182:D184"/>
    <mergeCell ref="E182:E184"/>
    <mergeCell ref="F182:F184"/>
    <mergeCell ref="G182:G183"/>
    <mergeCell ref="H182:H184"/>
    <mergeCell ref="I182:I184"/>
    <mergeCell ref="J182:J184"/>
    <mergeCell ref="P182:P184"/>
    <mergeCell ref="S182:S184"/>
    <mergeCell ref="T182:T184"/>
    <mergeCell ref="U182:U184"/>
    <mergeCell ref="AC182:AC184"/>
    <mergeCell ref="AD182:AD184"/>
    <mergeCell ref="AE182:AE184"/>
    <mergeCell ref="AF182:AF184"/>
    <mergeCell ref="AG182:AG184"/>
    <mergeCell ref="AH182:AH184"/>
    <mergeCell ref="AI182:AI184"/>
    <mergeCell ref="M183:M184"/>
    <mergeCell ref="N183:N184"/>
    <mergeCell ref="O183:O184"/>
    <mergeCell ref="Q183:Q184"/>
    <mergeCell ref="R183:R184"/>
    <mergeCell ref="B185:B188"/>
    <mergeCell ref="C185:C186"/>
    <mergeCell ref="D185:D186"/>
    <mergeCell ref="E185:E186"/>
    <mergeCell ref="F185:G186"/>
    <mergeCell ref="H185:H186"/>
    <mergeCell ref="I185:I186"/>
    <mergeCell ref="T185:T186"/>
    <mergeCell ref="U185:U186"/>
    <mergeCell ref="C187:C188"/>
    <mergeCell ref="D187:D188"/>
    <mergeCell ref="E187:E188"/>
    <mergeCell ref="F187:F188"/>
    <mergeCell ref="G187:G188"/>
    <mergeCell ref="H187:H188"/>
    <mergeCell ref="I187:I188"/>
    <mergeCell ref="T187:T188"/>
    <mergeCell ref="U187:U188"/>
    <mergeCell ref="B189:B200"/>
    <mergeCell ref="C189:C192"/>
    <mergeCell ref="D189:D192"/>
    <mergeCell ref="E189:E192"/>
    <mergeCell ref="F189:F192"/>
    <mergeCell ref="G189:G192"/>
    <mergeCell ref="H189:H192"/>
    <mergeCell ref="I189:I192"/>
    <mergeCell ref="T189:T192"/>
    <mergeCell ref="U189:U192"/>
    <mergeCell ref="C193:C196"/>
    <mergeCell ref="D193:D196"/>
    <mergeCell ref="E193:E196"/>
    <mergeCell ref="F193:F196"/>
    <mergeCell ref="G193:G196"/>
    <mergeCell ref="H193:H196"/>
    <mergeCell ref="I193:I196"/>
    <mergeCell ref="T193:T196"/>
    <mergeCell ref="U193:U196"/>
    <mergeCell ref="C197:C200"/>
    <mergeCell ref="D197:D200"/>
    <mergeCell ref="E197:E200"/>
    <mergeCell ref="F197:F200"/>
    <mergeCell ref="G197:G200"/>
    <mergeCell ref="H197:H200"/>
    <mergeCell ref="I197:I200"/>
    <mergeCell ref="T197:T200"/>
    <mergeCell ref="U197:U20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7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28" man="true" max="16383" min="0"/>
    <brk id="57" man="true" max="16383" min="0"/>
    <brk id="81" man="true" max="16383" min="0"/>
    <brk id="106" man="true" max="16383" min="0"/>
    <brk id="131" man="true" max="16383" min="0"/>
    <brk id="179" man="true" max="16383" min="0"/>
  </rowBreaks>
  <colBreaks count="1" manualBreakCount="1">
    <brk id="35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2016-11-29T01:28:46Z</dcterms:created>
  <dc:creator>sim</dc:creator>
  <dc:description/>
  <dc:language>en-US</dc:language>
  <cp:lastModifiedBy>LEE YUNA</cp:lastModifiedBy>
  <cp:lastPrinted>2026-05-06T09:29:09Z</cp:lastPrinted>
  <dcterms:modified xsi:type="dcterms:W3CDTF">2026-07-20T02:58:01Z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